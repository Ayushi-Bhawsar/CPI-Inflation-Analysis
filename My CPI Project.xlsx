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e5dd32ae06c711/Desktop/"/>
    </mc:Choice>
  </mc:AlternateContent>
  <xr:revisionPtr revIDLastSave="4094" documentId="13_ncr:1_{224F4549-6825-4375-9562-F748D5B5AFAD}" xr6:coauthVersionLast="47" xr6:coauthVersionMax="47" xr10:uidLastSave="{60352103-A8F7-4857-B5BA-3862F3E6F490}"/>
  <bookViews>
    <workbookView xWindow="-110" yWindow="-110" windowWidth="19420" windowHeight="11020" firstSheet="1" activeTab="1" xr2:uid="{05C66E56-691E-4253-B4CE-C22B6E0BA175}"/>
  </bookViews>
  <sheets>
    <sheet name="All_India_Index_Upto_April23 (1" sheetId="1" r:id="rId1"/>
    <sheet name="Highest contribution CPI" sheetId="2" r:id="rId2"/>
    <sheet name="YOY Trend" sheetId="11" r:id="rId3"/>
    <sheet name="MOM Change CPI" sheetId="13" r:id="rId4"/>
    <sheet name="Impact of Covid-19" sheetId="17" r:id="rId5"/>
    <sheet name="Correlation bw Crude oil &amp; Cate" sheetId="25" r:id="rId6"/>
    <sheet name="Extra Sheet " sheetId="16" r:id="rId7"/>
  </sheets>
  <definedNames>
    <definedName name="_xlnm._FilterDatabase" localSheetId="0" hidden="1">'All_India_Index_Upto_April23 (1'!$A$1:$AD$376</definedName>
    <definedName name="_xlnm._FilterDatabase" localSheetId="6" hidden="1">'Extra Sheet '!$A$4:$I$47</definedName>
    <definedName name="_xlnm._FilterDatabase" localSheetId="4" hidden="1">'Impact of Covid-19'!$A$5:$C$53</definedName>
  </definedNames>
  <calcPr calcId="191029"/>
  <pivotCaches>
    <pivotCache cacheId="0" r:id="rId8"/>
    <pivotCache cacheId="1" r:id="rId9"/>
    <pivotCache cacheId="2" r:id="rId10"/>
    <pivotCache cacheId="3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2" i="13" l="1"/>
  <c r="I32" i="13"/>
  <c r="J33" i="13"/>
  <c r="K33" i="13"/>
  <c r="L33" i="13"/>
  <c r="M33" i="13"/>
  <c r="N33" i="13"/>
  <c r="O33" i="13"/>
  <c r="P33" i="13"/>
  <c r="Q33" i="13"/>
  <c r="R33" i="13"/>
  <c r="S33" i="13"/>
  <c r="T33" i="13"/>
  <c r="U33" i="13"/>
  <c r="I33" i="13"/>
  <c r="K32" i="13"/>
  <c r="K34" i="13" s="1"/>
  <c r="L32" i="13"/>
  <c r="L34" i="13" s="1"/>
  <c r="M32" i="13"/>
  <c r="M34" i="13" s="1"/>
  <c r="N32" i="13"/>
  <c r="N34" i="13" s="1"/>
  <c r="O32" i="13"/>
  <c r="O34" i="13" s="1"/>
  <c r="P32" i="13"/>
  <c r="P34" i="13" s="1"/>
  <c r="Q32" i="13"/>
  <c r="Q34" i="13" s="1"/>
  <c r="R32" i="13"/>
  <c r="R34" i="13" s="1"/>
  <c r="S32" i="13"/>
  <c r="S34" i="13" s="1"/>
  <c r="T32" i="13"/>
  <c r="T34" i="13" s="1"/>
  <c r="U3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C7" i="17"/>
  <c r="C8" i="17"/>
  <c r="C6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10" i="17"/>
  <c r="C9" i="17"/>
  <c r="D3" i="13"/>
  <c r="D4" i="13"/>
  <c r="D5" i="13"/>
  <c r="B5" i="2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35" i="13"/>
  <c r="D36" i="13"/>
  <c r="D37" i="13"/>
  <c r="D38" i="13"/>
  <c r="D39" i="13"/>
  <c r="D40" i="13"/>
  <c r="D41" i="13"/>
  <c r="D12" i="2"/>
  <c r="D10" i="2"/>
  <c r="D9" i="2"/>
  <c r="D7" i="2"/>
  <c r="D5" i="2"/>
  <c r="C12" i="2"/>
  <c r="C10" i="2"/>
  <c r="C9" i="2"/>
  <c r="C7" i="2"/>
  <c r="C5" i="2"/>
  <c r="B10" i="2"/>
  <c r="B12" i="2"/>
  <c r="B9" i="2"/>
  <c r="B7" i="2"/>
  <c r="U34" i="13" l="1"/>
  <c r="J34" i="13"/>
  <c r="I34" i="13"/>
</calcChain>
</file>

<file path=xl/sharedStrings.xml><?xml version="1.0" encoding="utf-8"?>
<sst xmlns="http://schemas.openxmlformats.org/spreadsheetml/2006/main" count="1955" uniqueCount="146">
  <si>
    <t>Sector</t>
  </si>
  <si>
    <t>Year</t>
  </si>
  <si>
    <t>Month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</si>
  <si>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</si>
  <si>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</si>
  <si>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</si>
  <si>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</si>
  <si>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</si>
  <si>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</si>
  <si>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</si>
  <si>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</si>
  <si>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</si>
  <si>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</si>
  <si>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</si>
  <si>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</si>
  <si>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</si>
  <si>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</si>
  <si>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</si>
  <si>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</si>
  <si>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</si>
  <si>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</si>
  <si>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</si>
  <si>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</si>
  <si>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</si>
  <si>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</si>
  <si>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</si>
  <si>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</si>
  <si>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</si>
  <si>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</si>
  <si>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</si>
  <si>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</si>
  <si>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</si>
  <si>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Urban</t>
  </si>
  <si>
    <t>Rural+Urban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</si>
  <si>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</si>
  <si>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</si>
  <si>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</si>
  <si>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</si>
  <si>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</si>
  <si>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</si>
  <si>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</si>
  <si>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</si>
  <si>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</si>
  <si>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 xml:space="preserve">November </t>
  </si>
  <si>
    <t>November</t>
  </si>
  <si>
    <t>December</t>
  </si>
  <si>
    <t>Marcrh</t>
  </si>
  <si>
    <t>Categories</t>
  </si>
  <si>
    <t xml:space="preserve">Rural </t>
  </si>
  <si>
    <t xml:space="preserve">Urban </t>
  </si>
  <si>
    <t>CLOTHING</t>
  </si>
  <si>
    <t>EDUCATION</t>
  </si>
  <si>
    <t>FOOD</t>
  </si>
  <si>
    <t>GI</t>
  </si>
  <si>
    <t>HEALTH</t>
  </si>
  <si>
    <t>HOUSEHOLD</t>
  </si>
  <si>
    <t>LUXUARY</t>
  </si>
  <si>
    <t>MISC</t>
  </si>
  <si>
    <t>TRANSPORT &amp; LIGHT</t>
  </si>
  <si>
    <t>TOBACCO &amp; INTOXICANTS</t>
  </si>
  <si>
    <t>Grand Total</t>
  </si>
  <si>
    <t xml:space="preserve">Sum of Rural </t>
  </si>
  <si>
    <t xml:space="preserve">Sum of Urban </t>
  </si>
  <si>
    <t>Sum of Rural+Urban</t>
  </si>
  <si>
    <t>Change in Inflation</t>
  </si>
  <si>
    <t>Total CPI</t>
  </si>
  <si>
    <t xml:space="preserve">Change in Inflation </t>
  </si>
  <si>
    <t xml:space="preserve">Contribution in Percentage </t>
  </si>
  <si>
    <t>Contribution in Percentage</t>
  </si>
  <si>
    <t xml:space="preserve">Total CPI </t>
  </si>
  <si>
    <t xml:space="preserve">Change in inflation </t>
  </si>
  <si>
    <t xml:space="preserve">Year </t>
  </si>
  <si>
    <t xml:space="preserve">June </t>
  </si>
  <si>
    <t>Absolute Change in 12 months</t>
  </si>
  <si>
    <t>Change in Inflation Rate in 12 months</t>
  </si>
  <si>
    <t xml:space="preserve">Rura+Urban </t>
  </si>
  <si>
    <t xml:space="preserve">April </t>
  </si>
  <si>
    <t xml:space="preserve">Rural+Urban </t>
  </si>
  <si>
    <t>Months</t>
  </si>
  <si>
    <t>Years</t>
  </si>
  <si>
    <t xml:space="preserve"> Total CPI in Percentage</t>
  </si>
  <si>
    <t xml:space="preserve">  </t>
  </si>
  <si>
    <t xml:space="preserve">Crude oil </t>
  </si>
  <si>
    <t>Crude oil in %</t>
  </si>
  <si>
    <t>Cereals and products in %</t>
  </si>
  <si>
    <t>Meat and fish in %</t>
  </si>
  <si>
    <t>Egg in %</t>
  </si>
  <si>
    <t>Milk and products in %</t>
  </si>
  <si>
    <t>Fruits in %</t>
  </si>
  <si>
    <t>Vegetables in %</t>
  </si>
  <si>
    <t>Pulses and products in %</t>
  </si>
  <si>
    <t>Sugar and Confectionery in %</t>
  </si>
  <si>
    <t>Spices in %</t>
  </si>
  <si>
    <t>Non-alcoholic beverages in %</t>
  </si>
  <si>
    <t>Prepared meals, snacks, sweets etc. in %</t>
  </si>
  <si>
    <t>Food and beverages in %</t>
  </si>
  <si>
    <t>Oils and fats in %</t>
  </si>
  <si>
    <t>Clothing in %</t>
  </si>
  <si>
    <t>Footwear in %</t>
  </si>
  <si>
    <t>Clothing and footwear in %</t>
  </si>
  <si>
    <t>Household goods and services in %</t>
  </si>
  <si>
    <t>Housing in %</t>
  </si>
  <si>
    <t>Recreation and amusement in %</t>
  </si>
  <si>
    <t>Personal care and effects in %</t>
  </si>
  <si>
    <t>Health in %</t>
  </si>
  <si>
    <t>Education in %</t>
  </si>
  <si>
    <t>Pan, tobacco and intoxicants in %</t>
  </si>
  <si>
    <t>Miscellaneous in %</t>
  </si>
  <si>
    <t>General index in %</t>
  </si>
  <si>
    <t>Correlation b/w Crude oil &amp; Categories %</t>
  </si>
  <si>
    <t xml:space="preserve"> Footwear</t>
  </si>
  <si>
    <t xml:space="preserve"> Recreation and amusement</t>
  </si>
  <si>
    <t xml:space="preserve"> Personal care and effects</t>
  </si>
  <si>
    <t xml:space="preserve"> Health</t>
  </si>
  <si>
    <t xml:space="preserve"> Education</t>
  </si>
  <si>
    <t xml:space="preserve"> Pan, tobacco and intoxicants</t>
  </si>
  <si>
    <t xml:space="preserve"> Miscellaneous</t>
  </si>
  <si>
    <t xml:space="preserve"> General index</t>
  </si>
  <si>
    <t>Crude Oil in %</t>
  </si>
  <si>
    <t>Meat and fish in%</t>
  </si>
  <si>
    <t>Fruits in%</t>
  </si>
  <si>
    <t>Vegetables in%</t>
  </si>
  <si>
    <t>Prepared meals, snacks, sweets etc. in%</t>
  </si>
  <si>
    <t>Oils and fats  in %</t>
  </si>
  <si>
    <t>Clothing  in %</t>
  </si>
  <si>
    <t xml:space="preserve">Cereals and products </t>
  </si>
  <si>
    <t xml:space="preserve">Meat and fish </t>
  </si>
  <si>
    <t xml:space="preserve">Egg </t>
  </si>
  <si>
    <t xml:space="preserve">Milk and products </t>
  </si>
  <si>
    <t xml:space="preserve">Fruits </t>
  </si>
  <si>
    <t xml:space="preserve">Vegetables </t>
  </si>
  <si>
    <t xml:space="preserve">Pulses and products </t>
  </si>
  <si>
    <t xml:space="preserve">Spices </t>
  </si>
  <si>
    <t xml:space="preserve">Prepared meals, snacks, sweets etc. </t>
  </si>
  <si>
    <t xml:space="preserve">Oils and fats </t>
  </si>
  <si>
    <t xml:space="preserve">Clothing </t>
  </si>
  <si>
    <t xml:space="preserve">Footwear </t>
  </si>
  <si>
    <t xml:space="preserve">Clothing and footwear </t>
  </si>
  <si>
    <t xml:space="preserve">Housing </t>
  </si>
  <si>
    <t xml:space="preserve">Recreation and amusement </t>
  </si>
  <si>
    <t xml:space="preserve">Personal care and effects </t>
  </si>
  <si>
    <t xml:space="preserve">Health </t>
  </si>
  <si>
    <t xml:space="preserve">Education </t>
  </si>
  <si>
    <t xml:space="preserve">Pan, tobacco and intoxicants </t>
  </si>
  <si>
    <t xml:space="preserve">Miscellaneous </t>
  </si>
  <si>
    <t xml:space="preserve">General index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</si>
</sst>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\%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59999389629810485"/>
      </top>
      <bottom style="thin">
        <color theme="4" tint="0.59999389629810485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pivotButton="1"/>
    <xf numFmtId="10" fontId="0" fillId="0" borderId="0" xfId="0" applyNumberFormat="1"/>
    <xf numFmtId="0" fontId="16" fillId="33" borderId="10" xfId="0" applyFont="1" applyFill="1" applyBorder="1"/>
    <xf numFmtId="0" fontId="16" fillId="0" borderId="0" xfId="0" applyFont="1"/>
    <xf numFmtId="0" fontId="16" fillId="0" borderId="10" xfId="0" applyFont="1" applyBorder="1"/>
    <xf numFmtId="9" fontId="0" fillId="0" borderId="0" xfId="0" applyNumberFormat="1"/>
    <xf numFmtId="0" fontId="0" fillId="0" borderId="11" xfId="0" applyBorder="1" applyAlignment="1">
      <alignment horizontal="left"/>
    </xf>
    <xf numFmtId="0" fontId="0" fillId="0" borderId="11" xfId="0" applyBorder="1"/>
    <xf numFmtId="164" fontId="0" fillId="0" borderId="11" xfId="0" applyNumberFormat="1" applyBorder="1"/>
    <xf numFmtId="0" fontId="19" fillId="34" borderId="11" xfId="0" applyFont="1" applyFill="1" applyBorder="1"/>
    <xf numFmtId="0" fontId="16" fillId="34" borderId="11" xfId="0" applyFont="1" applyFill="1" applyBorder="1"/>
    <xf numFmtId="0" fontId="16" fillId="35" borderId="12" xfId="0" applyFont="1" applyFill="1" applyBorder="1"/>
    <xf numFmtId="0" fontId="22" fillId="37" borderId="11" xfId="25" applyFont="1" applyFill="1" applyBorder="1"/>
    <xf numFmtId="0" fontId="22" fillId="16" borderId="11" xfId="25" applyFont="1" applyBorder="1"/>
    <xf numFmtId="0" fontId="22" fillId="38" borderId="11" xfId="25" applyFont="1" applyFill="1" applyBorder="1"/>
    <xf numFmtId="0" fontId="21" fillId="36" borderId="11" xfId="25" applyFont="1" applyFill="1" applyBorder="1"/>
    <xf numFmtId="0" fontId="20" fillId="38" borderId="11" xfId="25" applyFont="1" applyFill="1" applyBorder="1"/>
    <xf numFmtId="165" fontId="22" fillId="16" borderId="11" xfId="25" applyNumberFormat="1" applyFont="1" applyBorder="1"/>
    <xf numFmtId="0" fontId="16" fillId="37" borderId="11" xfId="0" applyFont="1" applyFill="1" applyBorder="1"/>
    <xf numFmtId="165" fontId="0" fillId="0" borderId="0" xfId="0" applyNumberFormat="1"/>
    <xf numFmtId="1" fontId="0" fillId="0" borderId="0" xfId="0" applyNumberFormat="1"/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0" fillId="38" borderId="11" xfId="25" applyFont="1" applyFill="1" applyBorder="1" applyAlignment="1">
      <alignment wrapText="1"/>
    </xf>
    <xf numFmtId="0" fontId="21" fillId="36" borderId="11" xfId="25" applyFont="1" applyFill="1" applyBorder="1" applyAlignment="1"/>
    <xf numFmtId="0" fontId="0" fillId="0" borderId="0" xfId="0" applyAlignment="1">
      <alignment horizontal="center"/>
    </xf>
    <xf numFmtId="0" fontId="0" fillId="0" borderId="0" xfId="0" applyNumberFormat="1"/>
    <xf numFmtId="164" fontId="16" fillId="33" borderId="0" xfId="0" applyNumberFormat="1" applyFont="1" applyFill="1" applyBorder="1"/>
    <xf numFmtId="164" fontId="16" fillId="33" borderId="10" xfId="0" applyNumberFormat="1" applyFont="1" applyFill="1" applyBorder="1"/>
    <xf numFmtId="164" fontId="0" fillId="0" borderId="11" xfId="0" applyNumberFormat="1" applyBorder="1" applyAlignment="1">
      <alignment wrapText="1"/>
    </xf>
    <xf numFmtId="1" fontId="0" fillId="0" borderId="11" xfId="0" applyNumberFormat="1" applyBorder="1"/>
    <xf numFmtId="0" fontId="16" fillId="37" borderId="11" xfId="0" applyFont="1" applyFill="1" applyBorder="1" applyAlignment="1">
      <alignment vertical="top" wrapText="1"/>
    </xf>
    <xf numFmtId="1" fontId="16" fillId="37" borderId="11" xfId="0" applyNumberFormat="1" applyFont="1" applyFill="1" applyBorder="1" applyAlignment="1">
      <alignment vertical="top" wrapText="1"/>
    </xf>
    <xf numFmtId="164" fontId="16" fillId="37" borderId="11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3" formatCode="0%"/>
    </dxf>
    <dxf>
      <numFmt numFmtId="13" formatCode="0%"/>
    </dxf>
  </dxfs>
  <tableStyles count="0" defaultTableStyle="TableStyleMedium2" defaultPivotStyle="PivotStyleLight16"/>
  <colors>
    <mruColors>
      <color rgb="FFB42104"/>
      <color rgb="FFB31A05"/>
      <color rgb="FFB71B01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[My CPI Project.xlsx]Highest contribution CPI!PivotTable1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Contribution by Rural Area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9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4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5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6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7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8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9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'Highest contribution CPI'!$G$4</c:f>
              <c:strCache>
                <c:ptCount val="1"/>
                <c:pt idx="0">
                  <c:v>Sum of Rural 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7FD-4E57-B667-34ADCA45F62B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7FD-4E57-B667-34ADCA45F62B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7FD-4E57-B667-34ADCA45F62B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7FD-4E57-B667-34ADCA45F62B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7FD-4E57-B667-34ADCA45F62B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7FD-4E57-B667-34ADCA45F62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7FD-4E57-B667-34ADCA45F62B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7FD-4E57-B667-34ADCA45F62B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7FD-4E57-B667-34ADCA45F62B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7FD-4E57-B667-34ADCA45F6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'Highest contribution CPI'!$F$5:$F$15</c:f>
              <c:strCache>
                <c:ptCount val="10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GI</c:v>
                </c:pt>
                <c:pt idx="4">
                  <c:v>HEALTH</c:v>
                </c:pt>
                <c:pt idx="5">
                  <c:v>HOUSEHOLD</c:v>
                </c:pt>
                <c:pt idx="6">
                  <c:v>LUXUARY</c:v>
                </c:pt>
                <c:pt idx="7">
                  <c:v>MISC</c:v>
                </c:pt>
                <c:pt idx="8">
                  <c:v>TOBACCO &amp; INTOXICANTS</c:v>
                </c:pt>
                <c:pt idx="9">
                  <c:v>TRANSPORT &amp; LIGHT</c:v>
                </c:pt>
              </c:strCache>
            </c:strRef>
          </c:cat>
          <c:val>
            <c:numRef>
              <c:f>'Highest contribution CPI'!$G$5:$G$15</c:f>
              <c:numCache>
                <c:formatCode>General</c:formatCode>
                <c:ptCount val="10"/>
                <c:pt idx="0">
                  <c:v>501.55510000000004</c:v>
                </c:pt>
                <c:pt idx="1">
                  <c:v>180.3</c:v>
                </c:pt>
                <c:pt idx="2">
                  <c:v>2304.9</c:v>
                </c:pt>
                <c:pt idx="3">
                  <c:v>179.8</c:v>
                </c:pt>
                <c:pt idx="4">
                  <c:v>187.8</c:v>
                </c:pt>
                <c:pt idx="5">
                  <c:v>169.7</c:v>
                </c:pt>
                <c:pt idx="6">
                  <c:v>380.20000000000005</c:v>
                </c:pt>
                <c:pt idx="7">
                  <c:v>179.5</c:v>
                </c:pt>
                <c:pt idx="8">
                  <c:v>199.9</c:v>
                </c:pt>
                <c:pt idx="9">
                  <c:v>546.5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35-4D47-85A9-F6760C00A008}"/>
            </c:ext>
          </c:extLst>
        </c:ser>
        <c:ser>
          <c:idx val="1"/>
          <c:order val="1"/>
          <c:tx>
            <c:strRef>
              <c:f>'Highest contribution CPI'!$H$4</c:f>
              <c:strCache>
                <c:ptCount val="1"/>
                <c:pt idx="0">
                  <c:v>Contribution in Percentage 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7FD-4E57-B667-34ADCA45F62B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7FD-4E57-B667-34ADCA45F62B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7FD-4E57-B667-34ADCA45F62B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7FD-4E57-B667-34ADCA45F62B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7FD-4E57-B667-34ADCA45F62B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7FD-4E57-B667-34ADCA45F62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7FD-4E57-B667-34ADCA45F62B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7FD-4E57-B667-34ADCA45F62B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67FD-4E57-B667-34ADCA45F62B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67FD-4E57-B667-34ADCA45F6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'Highest contribution CPI'!$F$5:$F$15</c:f>
              <c:strCache>
                <c:ptCount val="10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GI</c:v>
                </c:pt>
                <c:pt idx="4">
                  <c:v>HEALTH</c:v>
                </c:pt>
                <c:pt idx="5">
                  <c:v>HOUSEHOLD</c:v>
                </c:pt>
                <c:pt idx="6">
                  <c:v>LUXUARY</c:v>
                </c:pt>
                <c:pt idx="7">
                  <c:v>MISC</c:v>
                </c:pt>
                <c:pt idx="8">
                  <c:v>TOBACCO &amp; INTOXICANTS</c:v>
                </c:pt>
                <c:pt idx="9">
                  <c:v>TRANSPORT &amp; LIGHT</c:v>
                </c:pt>
              </c:strCache>
            </c:strRef>
          </c:cat>
          <c:val>
            <c:numRef>
              <c:f>'Highest contribution CPI'!$H$5:$H$15</c:f>
              <c:numCache>
                <c:formatCode>0.00%</c:formatCode>
                <c:ptCount val="10"/>
                <c:pt idx="0">
                  <c:v>0.10383830117587736</c:v>
                </c:pt>
                <c:pt idx="1">
                  <c:v>3.7327993877463689E-2</c:v>
                </c:pt>
                <c:pt idx="2">
                  <c:v>0.47718964552504745</c:v>
                </c:pt>
                <c:pt idx="3">
                  <c:v>3.7224477532822917E-2</c:v>
                </c:pt>
                <c:pt idx="4">
                  <c:v>3.888073904707532E-2</c:v>
                </c:pt>
                <c:pt idx="5">
                  <c:v>3.5133447371079242E-2</c:v>
                </c:pt>
                <c:pt idx="6">
                  <c:v>7.8713828464845786E-2</c:v>
                </c:pt>
                <c:pt idx="7">
                  <c:v>3.7162367726038446E-2</c:v>
                </c:pt>
                <c:pt idx="8">
                  <c:v>4.1385834587382091E-2</c:v>
                </c:pt>
                <c:pt idx="9">
                  <c:v>0.11314336469236774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35-4D47-85A9-F6760C00A00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144661029373116"/>
          <c:y val="0.26122492157069077"/>
          <c:w val="0.36098871158245305"/>
          <c:h val="0.63261293223579962"/>
        </c:manualLayout>
      </c:layout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bg2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[My CPI Project.xlsx]Highest contribution CPI!PivotTable2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Contribution</a:t>
            </a:r>
            <a:r>
              <a:rPr lang="en-US" baseline="0"/>
              <a:t> by</a:t>
            </a:r>
            <a:r>
              <a:rPr lang="en-US"/>
              <a:t> Urban Area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9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4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5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6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7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8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9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'Highest contribution CPI'!$K$4</c:f>
              <c:strCache>
                <c:ptCount val="1"/>
                <c:pt idx="0">
                  <c:v>Sum of Urban 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EF-450E-8218-54D5A5773EDA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EF-450E-8218-54D5A5773EDA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EF-450E-8218-54D5A5773EDA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EF-450E-8218-54D5A5773EDA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EF-450E-8218-54D5A5773EDA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6EF-450E-8218-54D5A5773EDA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EF-450E-8218-54D5A5773EDA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EF-450E-8218-54D5A5773EDA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EF-450E-8218-54D5A5773EDA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EF-450E-8218-54D5A5773E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'Highest contribution CPI'!$J$5:$J$15</c:f>
              <c:strCache>
                <c:ptCount val="10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GI</c:v>
                </c:pt>
                <c:pt idx="4">
                  <c:v>HEALTH</c:v>
                </c:pt>
                <c:pt idx="5">
                  <c:v>HOUSEHOLD</c:v>
                </c:pt>
                <c:pt idx="6">
                  <c:v>LUXUARY</c:v>
                </c:pt>
                <c:pt idx="7">
                  <c:v>MISC</c:v>
                </c:pt>
                <c:pt idx="8">
                  <c:v>TOBACCO &amp; INTOXICANTS</c:v>
                </c:pt>
                <c:pt idx="9">
                  <c:v>TRANSPORT &amp; LIGHT</c:v>
                </c:pt>
              </c:strCache>
            </c:strRef>
          </c:cat>
          <c:val>
            <c:numRef>
              <c:f>'Highest contribution CPI'!$K$5:$K$15</c:f>
              <c:numCache>
                <c:formatCode>General</c:formatCode>
                <c:ptCount val="10"/>
                <c:pt idx="0">
                  <c:v>529.1</c:v>
                </c:pt>
                <c:pt idx="1">
                  <c:v>174.8</c:v>
                </c:pt>
                <c:pt idx="2">
                  <c:v>2293.0000000000005</c:v>
                </c:pt>
                <c:pt idx="3">
                  <c:v>178.2</c:v>
                </c:pt>
                <c:pt idx="4">
                  <c:v>182.2</c:v>
                </c:pt>
                <c:pt idx="5">
                  <c:v>160.4</c:v>
                </c:pt>
                <c:pt idx="6">
                  <c:v>379</c:v>
                </c:pt>
                <c:pt idx="7">
                  <c:v>171.6</c:v>
                </c:pt>
                <c:pt idx="8">
                  <c:v>204.2</c:v>
                </c:pt>
                <c:pt idx="9">
                  <c:v>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5-42BB-B2A5-8729BA9E5D97}"/>
            </c:ext>
          </c:extLst>
        </c:ser>
        <c:ser>
          <c:idx val="1"/>
          <c:order val="1"/>
          <c:tx>
            <c:strRef>
              <c:f>'Highest contribution CPI'!$L$4</c:f>
              <c:strCache>
                <c:ptCount val="1"/>
                <c:pt idx="0">
                  <c:v>Contribution in Percentage 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EF-450E-8218-54D5A5773EDA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EF-450E-8218-54D5A5773EDA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6EF-450E-8218-54D5A5773EDA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6EF-450E-8218-54D5A5773EDA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6EF-450E-8218-54D5A5773EDA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6EF-450E-8218-54D5A5773EDA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6EF-450E-8218-54D5A5773EDA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6EF-450E-8218-54D5A5773EDA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6EF-450E-8218-54D5A5773EDA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36EF-450E-8218-54D5A5773E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'Highest contribution CPI'!$J$5:$J$15</c:f>
              <c:strCache>
                <c:ptCount val="10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GI</c:v>
                </c:pt>
                <c:pt idx="4">
                  <c:v>HEALTH</c:v>
                </c:pt>
                <c:pt idx="5">
                  <c:v>HOUSEHOLD</c:v>
                </c:pt>
                <c:pt idx="6">
                  <c:v>LUXUARY</c:v>
                </c:pt>
                <c:pt idx="7">
                  <c:v>MISC</c:v>
                </c:pt>
                <c:pt idx="8">
                  <c:v>TOBACCO &amp; INTOXICANTS</c:v>
                </c:pt>
                <c:pt idx="9">
                  <c:v>TRANSPORT &amp; LIGHT</c:v>
                </c:pt>
              </c:strCache>
            </c:strRef>
          </c:cat>
          <c:val>
            <c:numRef>
              <c:f>'Highest contribution CPI'!$L$5:$L$15</c:f>
              <c:numCache>
                <c:formatCode>0.00%</c:formatCode>
                <c:ptCount val="10"/>
                <c:pt idx="0">
                  <c:v>0.11001143570017674</c:v>
                </c:pt>
                <c:pt idx="1">
                  <c:v>3.6344734379873171E-2</c:v>
                </c:pt>
                <c:pt idx="2">
                  <c:v>0.47676473645909145</c:v>
                </c:pt>
                <c:pt idx="3">
                  <c:v>3.7051668572616693E-2</c:v>
                </c:pt>
                <c:pt idx="4">
                  <c:v>3.7883355858197312E-2</c:v>
                </c:pt>
                <c:pt idx="5">
                  <c:v>3.3350660151782931E-2</c:v>
                </c:pt>
                <c:pt idx="6">
                  <c:v>7.88023703087639E-2</c:v>
                </c:pt>
                <c:pt idx="7">
                  <c:v>3.567938455140867E-2</c:v>
                </c:pt>
                <c:pt idx="8">
                  <c:v>4.2457635928890736E-2</c:v>
                </c:pt>
                <c:pt idx="9">
                  <c:v>0.11165401808919846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5-42BB-B2A5-8729BA9E5D9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929269264822663"/>
          <c:y val="0.2578089027109276"/>
          <c:w val="0.35414700764946755"/>
          <c:h val="0.63808675723087227"/>
        </c:manualLayout>
      </c:layout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bg2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[My CPI Project.xlsx]Highest contribution CPI!PivotTable3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Contribution</a:t>
            </a:r>
            <a:r>
              <a:rPr lang="en-US" baseline="0"/>
              <a:t> by</a:t>
            </a:r>
            <a:r>
              <a:rPr lang="en-US"/>
              <a:t> Rural+Urban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9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4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5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6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7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8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9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0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1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'Highest contribution CPI'!$O$4</c:f>
              <c:strCache>
                <c:ptCount val="1"/>
                <c:pt idx="0">
                  <c:v>Sum of Rural+Urban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95E-48D9-B344-287128F2AEEF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95E-48D9-B344-287128F2AEEF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95E-48D9-B344-287128F2AEEF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95E-48D9-B344-287128F2AEEF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95E-48D9-B344-287128F2AEEF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95E-48D9-B344-287128F2AEEF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95E-48D9-B344-287128F2AEEF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95E-48D9-B344-287128F2AEEF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95E-48D9-B344-287128F2AEEF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95E-48D9-B344-287128F2AE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'Highest contribution CPI'!$N$5:$N$15</c:f>
              <c:strCache>
                <c:ptCount val="10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GI</c:v>
                </c:pt>
                <c:pt idx="4">
                  <c:v>HEALTH</c:v>
                </c:pt>
                <c:pt idx="5">
                  <c:v>HOUSEHOLD</c:v>
                </c:pt>
                <c:pt idx="6">
                  <c:v>LUXUARY</c:v>
                </c:pt>
                <c:pt idx="7">
                  <c:v>MISC</c:v>
                </c:pt>
                <c:pt idx="8">
                  <c:v>TOBACCO &amp; INTOXICANTS</c:v>
                </c:pt>
                <c:pt idx="9">
                  <c:v>TRANSPORT &amp; LIGHT</c:v>
                </c:pt>
              </c:strCache>
            </c:strRef>
          </c:cat>
          <c:val>
            <c:numRef>
              <c:f>'Highest contribution CPI'!$O$5:$O$15</c:f>
              <c:numCache>
                <c:formatCode>General</c:formatCode>
                <c:ptCount val="10"/>
                <c:pt idx="0">
                  <c:v>553.20000000000005</c:v>
                </c:pt>
                <c:pt idx="1">
                  <c:v>177.1</c:v>
                </c:pt>
                <c:pt idx="2">
                  <c:v>2136.9</c:v>
                </c:pt>
                <c:pt idx="3">
                  <c:v>179.1</c:v>
                </c:pt>
                <c:pt idx="4">
                  <c:v>185.7</c:v>
                </c:pt>
                <c:pt idx="5">
                  <c:v>350.79999999999995</c:v>
                </c:pt>
                <c:pt idx="6">
                  <c:v>356.4</c:v>
                </c:pt>
                <c:pt idx="7">
                  <c:v>175.7</c:v>
                </c:pt>
                <c:pt idx="8">
                  <c:v>201</c:v>
                </c:pt>
                <c:pt idx="9">
                  <c:v>347.6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B2-4AB5-99EE-8246E5DD912C}"/>
            </c:ext>
          </c:extLst>
        </c:ser>
        <c:ser>
          <c:idx val="1"/>
          <c:order val="1"/>
          <c:tx>
            <c:strRef>
              <c:f>'Highest contribution CPI'!$P$4</c:f>
              <c:strCache>
                <c:ptCount val="1"/>
                <c:pt idx="0">
                  <c:v>Contribution in 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95E-48D9-B344-287128F2AEEF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95E-48D9-B344-287128F2AEEF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95E-48D9-B344-287128F2AEEF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95E-48D9-B344-287128F2AEEF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95E-48D9-B344-287128F2AEEF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95E-48D9-B344-287128F2AEEF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95E-48D9-B344-287128F2AEEF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95E-48D9-B344-287128F2AEEF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95E-48D9-B344-287128F2AEEF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395E-48D9-B344-287128F2AE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'Highest contribution CPI'!$N$5:$N$15</c:f>
              <c:strCache>
                <c:ptCount val="10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GI</c:v>
                </c:pt>
                <c:pt idx="4">
                  <c:v>HEALTH</c:v>
                </c:pt>
                <c:pt idx="5">
                  <c:v>HOUSEHOLD</c:v>
                </c:pt>
                <c:pt idx="6">
                  <c:v>LUXUARY</c:v>
                </c:pt>
                <c:pt idx="7">
                  <c:v>MISC</c:v>
                </c:pt>
                <c:pt idx="8">
                  <c:v>TOBACCO &amp; INTOXICANTS</c:v>
                </c:pt>
                <c:pt idx="9">
                  <c:v>TRANSPORT &amp; LIGHT</c:v>
                </c:pt>
              </c:strCache>
            </c:strRef>
          </c:cat>
          <c:val>
            <c:numRef>
              <c:f>'Highest contribution CPI'!$P$5:$P$15</c:f>
              <c:numCache>
                <c:formatCode>0.00%</c:formatCode>
                <c:ptCount val="10"/>
                <c:pt idx="0">
                  <c:v>0.11862335155998711</c:v>
                </c:pt>
                <c:pt idx="1">
                  <c:v>3.7975769272005994E-2</c:v>
                </c:pt>
                <c:pt idx="2">
                  <c:v>0.45821807655194591</c:v>
                </c:pt>
                <c:pt idx="3">
                  <c:v>3.8404631714377607E-2</c:v>
                </c:pt>
                <c:pt idx="4">
                  <c:v>3.9819877774203913E-2</c:v>
                </c:pt>
                <c:pt idx="5">
                  <c:v>7.5222472391980252E-2</c:v>
                </c:pt>
                <c:pt idx="6">
                  <c:v>7.6423287230620765E-2</c:v>
                </c:pt>
                <c:pt idx="7">
                  <c:v>3.7675565562345865E-2</c:v>
                </c:pt>
                <c:pt idx="8">
                  <c:v>4.3100675458346727E-2</c:v>
                </c:pt>
                <c:pt idx="9">
                  <c:v>7.4536292484185682E-2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B2-4AB5-99EE-8246E5DD912C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286456883890896"/>
          <c:y val="0.25969058207622697"/>
          <c:w val="0.35165665556880438"/>
          <c:h val="0.59054337453596395"/>
        </c:manualLayout>
      </c:layout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bg2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Growth</a:t>
            </a:r>
            <a:r>
              <a:rPr lang="en-US" baseline="0"/>
              <a:t> Rate Y-O-Y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'YOY Trend'!$H$22</c:f>
              <c:strCache>
                <c:ptCount val="1"/>
                <c:pt idx="0">
                  <c:v>Change in Inflation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15"/>
            <c:spPr>
              <a:solidFill>
                <a:schemeClr val="accent2"/>
              </a:solidFill>
              <a:ln w="15875">
                <a:solidFill>
                  <a:schemeClr val="accent2"/>
                </a:solidFill>
                <a:round/>
              </a:ln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'YOY Trend'!$G$23:$G$28</c:f>
              <c:numCache>
                <c:formatCode>General</c:formatCode>
                <c:ptCount val="6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'YOY Trend'!$H$23:$H$28</c:f>
              <c:numCache>
                <c:formatCode>0%</c:formatCode>
                <c:ptCount val="6"/>
                <c:pt idx="0">
                  <c:v>5.295471987720627E-2</c:v>
                </c:pt>
                <c:pt idx="1">
                  <c:v>2.3374726077428697E-2</c:v>
                </c:pt>
                <c:pt idx="2">
                  <c:v>7.7363896848137617E-2</c:v>
                </c:pt>
                <c:pt idx="3">
                  <c:v>5.7922769640479481E-2</c:v>
                </c:pt>
                <c:pt idx="4">
                  <c:v>5.657978385251098E-2</c:v>
                </c:pt>
                <c:pt idx="5">
                  <c:v>6.0350030175015092E-2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55-440E-8867-9BE856A39BA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0061023"/>
        <c:axId val="1454262543"/>
      </c:lineChart>
      <c:catAx>
        <c:axId val="700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262543"/>
        <c:crosses val="autoZero"/>
        <c:auto val="1"/>
        <c:lblAlgn val="ctr"/>
        <c:lblOffset val="100"/>
        <c:noMultiLvlLbl val="0"/>
      </c:catAx>
      <c:valAx>
        <c:axId val="145426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6102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bg2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tx1"/>
                </a:solidFill>
              </a:rPr>
              <a:t>M-O-M</a:t>
            </a:r>
            <a:r>
              <a:rPr lang="en-US" sz="2000" b="1" baseline="0">
                <a:solidFill>
                  <a:schemeClr val="tx1"/>
                </a:solidFill>
              </a:rPr>
              <a:t> InflationChanges </a:t>
            </a:r>
            <a:endParaRPr lang="en-US" sz="20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042961128562598E-2"/>
          <c:y val="0.14032115322164801"/>
          <c:w val="0.94752405024581021"/>
          <c:h val="0.84158583539367049"/>
        </c:manualLayout>
      </c:layout>
      <c:lineChart>
        <c:grouping val="standard"/>
        <c:varyColors val="0"/>
        <c:ser>
          <c:idx val="0"/>
          <c:order val="0"/>
          <c:tx>
            <c:strRef>
              <c:f>'MOM Change CPI'!$N$2</c:f>
              <c:strCache>
                <c:ptCount val="1"/>
                <c:pt idx="0">
                  <c:v>Change in inflation 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star"/>
            <c:size val="16"/>
            <c:spPr>
              <a:solidFill>
                <a:schemeClr val="accent2">
                  <a:lumMod val="75000"/>
                </a:schemeClr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'MOM Change CPI'!$L$3:$M$15</c:f>
              <c:multiLvlStrCache>
                <c:ptCount val="13"/>
                <c:lvl>
                  <c:pt idx="0">
                    <c:v>May</c:v>
                  </c:pt>
                  <c:pt idx="1">
                    <c:v>June</c:v>
                  </c:pt>
                  <c:pt idx="2">
                    <c:v>July</c:v>
                  </c:pt>
                  <c:pt idx="3">
                    <c:v>August</c:v>
                  </c:pt>
                  <c:pt idx="4">
                    <c:v>September</c:v>
                  </c:pt>
                  <c:pt idx="5">
                    <c:v>October</c:v>
                  </c:pt>
                  <c:pt idx="6">
                    <c:v>November</c:v>
                  </c:pt>
                  <c:pt idx="7">
                    <c:v>December</c:v>
                  </c:pt>
                  <c:pt idx="8">
                    <c:v>January</c:v>
                  </c:pt>
                  <c:pt idx="9">
                    <c:v>February</c:v>
                  </c:pt>
                  <c:pt idx="10">
                    <c:v>March</c:v>
                  </c:pt>
                  <c:pt idx="11">
                    <c:v>April</c:v>
                  </c:pt>
                  <c:pt idx="12">
                    <c:v>May</c:v>
                  </c:pt>
                </c:lvl>
                <c:lvl>
                  <c:pt idx="0">
                    <c:v>2022</c:v>
                  </c:pt>
                  <c:pt idx="8">
                    <c:v>2023</c:v>
                  </c:pt>
                </c:lvl>
              </c:multiLvlStrCache>
            </c:multiLvlStrRef>
          </c:cat>
          <c:val>
            <c:numRef>
              <c:f>'MOM Change CPI'!$N$3:$N$15</c:f>
              <c:numCache>
                <c:formatCode>0.0</c:formatCode>
                <c:ptCount val="13"/>
                <c:pt idx="1">
                  <c:v>1.0374708304225848</c:v>
                </c:pt>
                <c:pt idx="2">
                  <c:v>0.18682789767126845</c:v>
                </c:pt>
                <c:pt idx="3">
                  <c:v>0.1218724304005665</c:v>
                </c:pt>
                <c:pt idx="4">
                  <c:v>0.53382609588336083</c:v>
                </c:pt>
                <c:pt idx="5">
                  <c:v>0.71479628305932819</c:v>
                </c:pt>
                <c:pt idx="6">
                  <c:v>-7.531756492517358E-2</c:v>
                </c:pt>
                <c:pt idx="7">
                  <c:v>-0.61748974474193385</c:v>
                </c:pt>
                <c:pt idx="8">
                  <c:v>0.43463675743478397</c:v>
                </c:pt>
                <c:pt idx="9">
                  <c:v>-0.55328850873499313</c:v>
                </c:pt>
                <c:pt idx="10">
                  <c:v>5.841121495335071E-3</c:v>
                </c:pt>
                <c:pt idx="11">
                  <c:v>0.48332457216283298</c:v>
                </c:pt>
                <c:pt idx="12">
                  <c:v>0.74402383201337974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10-433E-9255-7F6066263A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2116450319"/>
        <c:axId val="29915536"/>
      </c:lineChart>
      <c:catAx>
        <c:axId val="2116450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15536"/>
        <c:crosses val="autoZero"/>
        <c:auto val="1"/>
        <c:lblAlgn val="ctr"/>
        <c:lblOffset val="100"/>
        <c:noMultiLvlLbl val="0"/>
      </c:catAx>
      <c:valAx>
        <c:axId val="29915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45031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65000"/>
          <a:lumOff val="3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all" spc="1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'MOM Change CPI'!$H$40</c:f>
              <c:strCache>
                <c:ptCount val="1"/>
                <c:pt idx="0">
                  <c:v>Change in Inflation Rate in 12 months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'MOM Change CPI'!$G$41:$G$53</c:f>
              <c:strCache>
                <c:ptCount val="13"/>
                <c:pt idx="0">
                  <c:v>Cereals and products</c:v>
                </c:pt>
                <c:pt idx="1">
                  <c:v>Meat and fish</c:v>
                </c:pt>
                <c:pt idx="2">
                  <c:v>Egg</c:v>
                </c:pt>
                <c:pt idx="3">
                  <c:v>Milk and products</c:v>
                </c:pt>
                <c:pt idx="4">
                  <c:v>Fruits</c:v>
                </c:pt>
                <c:pt idx="5">
                  <c:v>Vegetables</c:v>
                </c:pt>
                <c:pt idx="6">
                  <c:v>Pulses and products</c:v>
                </c:pt>
                <c:pt idx="7">
                  <c:v>Sugar and Confectionery</c:v>
                </c:pt>
                <c:pt idx="8">
                  <c:v>Spices</c:v>
                </c:pt>
                <c:pt idx="9">
                  <c:v>Non-alcoholic beverages</c:v>
                </c:pt>
                <c:pt idx="10">
                  <c:v>Prepared meals, snacks, sweets etc.</c:v>
                </c:pt>
                <c:pt idx="11">
                  <c:v>Food and beverages</c:v>
                </c:pt>
                <c:pt idx="12">
                  <c:v>Oils and fats</c:v>
                </c:pt>
              </c:strCache>
            </c:strRef>
          </c:cat>
          <c:val>
            <c:numRef>
              <c:f>'MOM Change CPI'!$H$41:$H$53</c:f>
              <c:numCache>
                <c:formatCode>0\%</c:formatCode>
                <c:ptCount val="13"/>
                <c:pt idx="0">
                  <c:v>11.859318035599378</c:v>
                </c:pt>
                <c:pt idx="1">
                  <c:v>-2.2424242424242355</c:v>
                </c:pt>
                <c:pt idx="2">
                  <c:v>1.5003897116133926</c:v>
                </c:pt>
                <c:pt idx="3">
                  <c:v>8.2194533762057826</c:v>
                </c:pt>
                <c:pt idx="4">
                  <c:v>1.4521193092621731</c:v>
                </c:pt>
                <c:pt idx="5">
                  <c:v>-11.833897700944579</c:v>
                </c:pt>
                <c:pt idx="6">
                  <c:v>7.0862944162436508</c:v>
                </c:pt>
                <c:pt idx="7">
                  <c:v>2.3307436182020074</c:v>
                </c:pt>
                <c:pt idx="8">
                  <c:v>16.336014298480784</c:v>
                </c:pt>
                <c:pt idx="9">
                  <c:v>3.3519553072625836</c:v>
                </c:pt>
                <c:pt idx="10">
                  <c:v>5.5968121717080193</c:v>
                </c:pt>
                <c:pt idx="11">
                  <c:v>2.3547284466388105</c:v>
                </c:pt>
                <c:pt idx="12">
                  <c:v>-15.043507362784467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4-4259-BE59-78400CE0454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2116499967"/>
        <c:axId val="2081139951"/>
      </c:barChart>
      <c:catAx>
        <c:axId val="211649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139951"/>
        <c:crosses val="autoZero"/>
        <c:auto val="1"/>
        <c:lblAlgn val="ctr"/>
        <c:lblOffset val="100"/>
        <c:noMultiLvlLbl val="0"/>
      </c:catAx>
      <c:valAx>
        <c:axId val="2081139951"/>
        <c:scaling>
          <c:orientation val="minMax"/>
        </c:scaling>
        <c:delete val="0"/>
        <c:axPos val="l"/>
        <c:numFmt formatCode="0\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49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65000"/>
          <a:lumOff val="3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[My CPI Project.xlsx]Impact of Covid-19!PivotTable5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Inflation trend in India Before,During and After COVID-19 pandemic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2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2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 cmpd="sng" algn="ctr">
            <a:solidFill>
              <a:schemeClr val="accent2"/>
            </a:solidFill>
            <a:round/>
          </a:ln>
          <a:effectLst/>
        </c:spPr>
        <c:marker>
          <c:symbol val="triangle"/>
          <c:size val="12"/>
          <c:spPr>
            <a:solidFill>
              <a:schemeClr val="accent6">
                <a:lumMod val="75000"/>
              </a:schemeClr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</c:pivotFmt>
      <c:pivotFmt>
        <c:idx val="2"/>
        <c:spPr>
          <a:ln w="22225" cap="rnd" cmpd="sng" algn="ctr">
            <a:solidFill>
              <a:schemeClr val="accent2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4.9958808076725786E-2"/>
          <c:y val="6.2495091176587282E-2"/>
          <c:w val="0.9279533206755628"/>
          <c:h val="0.76839847257657967"/>
        </c:manualLayout>
      </c:layout>
      <c:lineChart>
        <c:grouping val="standard"/>
        <c:varyColors val="0"/>
        <c:ser>
          <c:idx val="0"/>
          <c:order val="0"/>
          <c:tx>
            <c:strRef>
              <c:f>'Impact of Covid-19'!$G$5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Pt>
            <c:idx val="14"/>
            <c:marker>
              <c:symbol val="triangle"/>
              <c:size val="12"/>
              <c:spPr>
                <a:solidFill>
                  <a:schemeClr val="accent6">
                    <a:lumMod val="75000"/>
                  </a:schemeClr>
                </a:solidFill>
                <a:ln w="9525" cap="flat" cmpd="sng" algn="ctr">
                  <a:solidFill>
                    <a:schemeClr val="accent2"/>
                  </a:solidFill>
                  <a:round/>
                </a:ln>
                <a:effectLst/>
              </c:spPr>
            </c:marker>
            <c:bubble3D val="0"/>
            <c:spPr>
              <a:ln w="22225" cap="rnd" cmpd="sng" algn="ctr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00-4818-A884-34C6BF2020AA}"/>
              </c:ext>
            </c:extLst>
          </c:dPt>
          <c:dLbls>
            <c:delete val="1"/>
          </c:dLbls>
          <c:cat>
            <c:multiLvlStrRef>
              <c:f>'Impact of Covid-19'!$E$6:$F$54</c:f>
              <c:multiLvlStrCache>
                <c:ptCount val="48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</c:v>
                  </c:pt>
                  <c:pt idx="10">
                    <c:v>November</c:v>
                  </c:pt>
                  <c:pt idx="11">
                    <c:v>December</c:v>
                  </c:pt>
                  <c:pt idx="12">
                    <c:v>January</c:v>
                  </c:pt>
                  <c:pt idx="13">
                    <c:v>February</c:v>
                  </c:pt>
                  <c:pt idx="14">
                    <c:v>March</c:v>
                  </c:pt>
                  <c:pt idx="15">
                    <c:v>April</c:v>
                  </c:pt>
                  <c:pt idx="16">
                    <c:v>May</c:v>
                  </c:pt>
                  <c:pt idx="17">
                    <c:v>June</c:v>
                  </c:pt>
                  <c:pt idx="18">
                    <c:v>July</c:v>
                  </c:pt>
                  <c:pt idx="19">
                    <c:v>August</c:v>
                  </c:pt>
                  <c:pt idx="20">
                    <c:v>September</c:v>
                  </c:pt>
                  <c:pt idx="21">
                    <c:v>October</c:v>
                  </c:pt>
                  <c:pt idx="22">
                    <c:v>November</c:v>
                  </c:pt>
                  <c:pt idx="23">
                    <c:v>December</c:v>
                  </c:pt>
                  <c:pt idx="24">
                    <c:v>January</c:v>
                  </c:pt>
                  <c:pt idx="25">
                    <c:v>February</c:v>
                  </c:pt>
                  <c:pt idx="26">
                    <c:v>March</c:v>
                  </c:pt>
                  <c:pt idx="27">
                    <c:v>April</c:v>
                  </c:pt>
                  <c:pt idx="28">
                    <c:v>May</c:v>
                  </c:pt>
                  <c:pt idx="29">
                    <c:v>June</c:v>
                  </c:pt>
                  <c:pt idx="30">
                    <c:v>July</c:v>
                  </c:pt>
                  <c:pt idx="31">
                    <c:v>August</c:v>
                  </c:pt>
                  <c:pt idx="32">
                    <c:v>September</c:v>
                  </c:pt>
                  <c:pt idx="33">
                    <c:v>October</c:v>
                  </c:pt>
                  <c:pt idx="34">
                    <c:v>November</c:v>
                  </c:pt>
                  <c:pt idx="35">
                    <c:v>December</c:v>
                  </c:pt>
                  <c:pt idx="36">
                    <c:v>January</c:v>
                  </c:pt>
                  <c:pt idx="37">
                    <c:v>February</c:v>
                  </c:pt>
                  <c:pt idx="38">
                    <c:v>March</c:v>
                  </c:pt>
                  <c:pt idx="39">
                    <c:v>April</c:v>
                  </c:pt>
                  <c:pt idx="40">
                    <c:v>May</c:v>
                  </c:pt>
                  <c:pt idx="41">
                    <c:v>June</c:v>
                  </c:pt>
                  <c:pt idx="42">
                    <c:v>July</c:v>
                  </c:pt>
                  <c:pt idx="43">
                    <c:v>August</c:v>
                  </c:pt>
                  <c:pt idx="44">
                    <c:v>September</c:v>
                  </c:pt>
                  <c:pt idx="45">
                    <c:v>October</c:v>
                  </c:pt>
                  <c:pt idx="46">
                    <c:v>November</c:v>
                  </c:pt>
                  <c:pt idx="47">
                    <c:v>December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'Impact of Covid-19'!$G$6:$G$54</c:f>
              <c:numCache>
                <c:formatCode>0.00%</c:formatCode>
                <c:ptCount val="48"/>
                <c:pt idx="1">
                  <c:v>-8.055891452673907E-5</c:v>
                </c:pt>
                <c:pt idx="2">
                  <c:v>6.847507734762747E-4</c:v>
                </c:pt>
                <c:pt idx="3">
                  <c:v>2.4017541835461807E-2</c:v>
                </c:pt>
                <c:pt idx="4">
                  <c:v>1.4661722443846547E-2</c:v>
                </c:pt>
                <c:pt idx="5">
                  <c:v>1.6393739106168963E-2</c:v>
                </c:pt>
                <c:pt idx="6">
                  <c:v>1.7521563909541845E-2</c:v>
                </c:pt>
                <c:pt idx="7">
                  <c:v>1.877022708470456E-2</c:v>
                </c:pt>
                <c:pt idx="8">
                  <c:v>2.0300846460710589E-2</c:v>
                </c:pt>
                <c:pt idx="9">
                  <c:v>2.1307832892293453E-2</c:v>
                </c:pt>
                <c:pt idx="10">
                  <c:v>2.2959290640089131E-2</c:v>
                </c:pt>
                <c:pt idx="11">
                  <c:v>2.3805159242618883E-2</c:v>
                </c:pt>
                <c:pt idx="13">
                  <c:v>1.1790343637818564E-3</c:v>
                </c:pt>
                <c:pt idx="14">
                  <c:v>2.7117790366981268E-3</c:v>
                </c:pt>
                <c:pt idx="15">
                  <c:v>4.0480179823175998E-3</c:v>
                </c:pt>
                <c:pt idx="16">
                  <c:v>5.6200638006935867E-3</c:v>
                </c:pt>
                <c:pt idx="17">
                  <c:v>7.8209279464195054E-3</c:v>
                </c:pt>
                <c:pt idx="18">
                  <c:v>1.0807815001333683E-2</c:v>
                </c:pt>
                <c:pt idx="19">
                  <c:v>1.3480292892572451E-2</c:v>
                </c:pt>
                <c:pt idx="20">
                  <c:v>1.5799060474676982E-2</c:v>
                </c:pt>
                <c:pt idx="21">
                  <c:v>1.858944180229365E-2</c:v>
                </c:pt>
                <c:pt idx="22">
                  <c:v>2.1222618548073415E-2</c:v>
                </c:pt>
                <c:pt idx="23">
                  <c:v>2.5427841112228632E-2</c:v>
                </c:pt>
                <c:pt idx="25">
                  <c:v>3.5526623556192032E-3</c:v>
                </c:pt>
                <c:pt idx="26">
                  <c:v>3.93466906052466E-3</c:v>
                </c:pt>
                <c:pt idx="27">
                  <c:v>4.7368831408255464E-3</c:v>
                </c:pt>
                <c:pt idx="28">
                  <c:v>5.5772978916169263E-3</c:v>
                </c:pt>
                <c:pt idx="29">
                  <c:v>4.5840804588635721E-3</c:v>
                </c:pt>
                <c:pt idx="30">
                  <c:v>5.0424885047498421E-3</c:v>
                </c:pt>
                <c:pt idx="31">
                  <c:v>4.7750838113160398E-3</c:v>
                </c:pt>
                <c:pt idx="32">
                  <c:v>4.4694784473919176E-3</c:v>
                </c:pt>
                <c:pt idx="33">
                  <c:v>4.5458797883729044E-3</c:v>
                </c:pt>
                <c:pt idx="34">
                  <c:v>4.3548764359204366E-3</c:v>
                </c:pt>
                <c:pt idx="35">
                  <c:v>8.2347746649883233E-3</c:v>
                </c:pt>
                <c:pt idx="37">
                  <c:v>-2.4543715490859717E-4</c:v>
                </c:pt>
                <c:pt idx="38">
                  <c:v>-1.054140495155341E-2</c:v>
                </c:pt>
                <c:pt idx="39">
                  <c:v>-1.8203457730330729E-2</c:v>
                </c:pt>
                <c:pt idx="40">
                  <c:v>-2.6017991043564948E-2</c:v>
                </c:pt>
                <c:pt idx="41">
                  <c:v>-1.744568377876874E-2</c:v>
                </c:pt>
                <c:pt idx="42">
                  <c:v>-6.0620845162183204E-3</c:v>
                </c:pt>
                <c:pt idx="43">
                  <c:v>5.2888857532277476E-3</c:v>
                </c:pt>
                <c:pt idx="44">
                  <c:v>5.2888857532277476E-3</c:v>
                </c:pt>
                <c:pt idx="45">
                  <c:v>5.2888857532279194E-3</c:v>
                </c:pt>
                <c:pt idx="46">
                  <c:v>5.2888857532277476E-3</c:v>
                </c:pt>
                <c:pt idx="47">
                  <c:v>8.5798855545313434E-3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00-4818-A884-34C6BF2020A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dropLines>
        <c:marker val="1"/>
        <c:smooth val="0"/>
        <c:axId val="1859255344"/>
        <c:axId val="1459057296"/>
      </c:lineChart>
      <c:catAx>
        <c:axId val="185925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57296"/>
        <c:crosses val="autoZero"/>
        <c:auto val="1"/>
        <c:lblAlgn val="ctr"/>
        <c:lblOffset val="100"/>
        <c:noMultiLvlLbl val="0"/>
      </c:catAx>
      <c:valAx>
        <c:axId val="14590572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255344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accent1">
          <a:shade val="1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200">
                <a:solidFill>
                  <a:schemeClr val="tx1"/>
                </a:solidFill>
              </a:rPr>
              <a:t>Correlation between Crude oil &amp; Categories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'Correlation bw Crude oil &amp; Cate'!$B$2</c:f>
              <c:strCache>
                <c:ptCount val="1"/>
                <c:pt idx="0">
                  <c:v>Correlation b/w Crude oil &amp; Categories 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9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D46-47E3-BF13-AF5216C14F5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7D46-47E3-BF13-AF5216C14F5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7D46-47E3-BF13-AF5216C14F5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7D46-47E3-BF13-AF5216C14F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'Correlation bw Crude oil &amp; Cate'!$A$3:$A$27</c:f>
              <c:strCache>
                <c:ptCount val="25"/>
                <c:pt idx="0">
                  <c:v>Cereals and products </c:v>
                </c:pt>
                <c:pt idx="1">
                  <c:v>Meat and fish </c:v>
                </c:pt>
                <c:pt idx="2">
                  <c:v>Egg </c:v>
                </c:pt>
                <c:pt idx="3">
                  <c:v>Milk and products </c:v>
                </c:pt>
                <c:pt idx="4">
                  <c:v>Fruits </c:v>
                </c:pt>
                <c:pt idx="5">
                  <c:v>Vegetables </c:v>
                </c:pt>
                <c:pt idx="6">
                  <c:v>Pulses and products </c:v>
                </c:pt>
                <c:pt idx="7">
                  <c:v>Sugar and Confectionery</c:v>
                </c:pt>
                <c:pt idx="8">
                  <c:v>Spices </c:v>
                </c:pt>
                <c:pt idx="9">
                  <c:v>Non-alcoholic beverages</c:v>
                </c:pt>
                <c:pt idx="10">
                  <c:v>Prepared meals, snacks, sweets etc. </c:v>
                </c:pt>
                <c:pt idx="11">
                  <c:v>Food and beverages</c:v>
                </c:pt>
                <c:pt idx="12">
                  <c:v>Oils and fats </c:v>
                </c:pt>
                <c:pt idx="13">
                  <c:v>Clothing </c:v>
                </c:pt>
                <c:pt idx="14">
                  <c:v>Footwear </c:v>
                </c:pt>
                <c:pt idx="15">
                  <c:v>Clothing and footwear </c:v>
                </c:pt>
                <c:pt idx="16">
                  <c:v>Household goods and services</c:v>
                </c:pt>
                <c:pt idx="17">
                  <c:v>Housing </c:v>
                </c:pt>
                <c:pt idx="18">
                  <c:v>Recreation and amusement </c:v>
                </c:pt>
                <c:pt idx="19">
                  <c:v>Personal care and effects </c:v>
                </c:pt>
                <c:pt idx="20">
                  <c:v>Health </c:v>
                </c:pt>
                <c:pt idx="21">
                  <c:v>Education </c:v>
                </c:pt>
                <c:pt idx="22">
                  <c:v>Pan, tobacco and intoxicants </c:v>
                </c:pt>
                <c:pt idx="23">
                  <c:v>Miscellaneous </c:v>
                </c:pt>
                <c:pt idx="24">
                  <c:v>General index </c:v>
                </c:pt>
              </c:strCache>
            </c:strRef>
          </c:cat>
          <c:val>
            <c:numRef>
              <c:f>'Correlation bw Crude oil &amp; Cate'!$B$3:$B$27</c:f>
              <c:numCache>
                <c:formatCode>0</c:formatCode>
                <c:ptCount val="25"/>
                <c:pt idx="0">
                  <c:v>-0.15507525953540544</c:v>
                </c:pt>
                <c:pt idx="1">
                  <c:v>5.9204605842993592E-2</c:v>
                </c:pt>
                <c:pt idx="2">
                  <c:v>-0.18325081244741612</c:v>
                </c:pt>
                <c:pt idx="3">
                  <c:v>4.5464603180878083E-2</c:v>
                </c:pt>
                <c:pt idx="4">
                  <c:v>0.35274334611984026</c:v>
                </c:pt>
                <c:pt idx="5">
                  <c:v>-0.20144344529330363</c:v>
                </c:pt>
                <c:pt idx="6">
                  <c:v>-0.10545258643922997</c:v>
                </c:pt>
                <c:pt idx="7">
                  <c:v>-8.8574999442029928E-2</c:v>
                </c:pt>
                <c:pt idx="8">
                  <c:v>6.7246935610585618E-2</c:v>
                </c:pt>
                <c:pt idx="9">
                  <c:v>0.64339778093481736</c:v>
                </c:pt>
                <c:pt idx="10">
                  <c:v>0.43387677048637552</c:v>
                </c:pt>
                <c:pt idx="11">
                  <c:v>-3.4758478069895571E-2</c:v>
                </c:pt>
                <c:pt idx="12">
                  <c:v>0.56103644632752903</c:v>
                </c:pt>
                <c:pt idx="13">
                  <c:v>0.45913847680403658</c:v>
                </c:pt>
                <c:pt idx="14">
                  <c:v>0.40917247320001593</c:v>
                </c:pt>
                <c:pt idx="15">
                  <c:v>0.45471950965239971</c:v>
                </c:pt>
                <c:pt idx="16">
                  <c:v>0.35583217872424672</c:v>
                </c:pt>
                <c:pt idx="17">
                  <c:v>0.28916827761877351</c:v>
                </c:pt>
                <c:pt idx="18">
                  <c:v>0.50393466664600217</c:v>
                </c:pt>
                <c:pt idx="19">
                  <c:v>-0.22286347764442985</c:v>
                </c:pt>
                <c:pt idx="20">
                  <c:v>0.42709608306962227</c:v>
                </c:pt>
                <c:pt idx="21">
                  <c:v>0.24259638088218632</c:v>
                </c:pt>
                <c:pt idx="22">
                  <c:v>0.2879023908090162</c:v>
                </c:pt>
                <c:pt idx="23">
                  <c:v>0.75485387206983945</c:v>
                </c:pt>
                <c:pt idx="24">
                  <c:v>0.28076012625695518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46-47E3-BF13-AF5216C14F5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545843407"/>
        <c:axId val="372840751"/>
      </c:barChart>
      <c:catAx>
        <c:axId val="1545843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840751"/>
        <c:crosses val="autoZero"/>
        <c:auto val="1"/>
        <c:lblAlgn val="ctr"/>
        <c:lblOffset val="100"/>
        <c:noMultiLvlLbl val="0"/>
      </c:catAx>
      <c:valAx>
        <c:axId val="37284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843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1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16</xdr:row>
      <xdr:rowOff>0</xdr:rowOff>
    </xdr:from>
    <xdr:to>
      <xdr:col>8</xdr:col>
      <xdr:colOff>13229</xdr:colOff>
      <xdr:row>35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AC1172-EF5D-7CEA-4FDB-0338BDBB5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592666</xdr:colOff>
      <xdr:row>16</xdr:row>
      <xdr:rowOff>14110</xdr:rowOff>
    </xdr:from>
    <xdr:to>
      <xdr:col>12</xdr:col>
      <xdr:colOff>28222</xdr:colOff>
      <xdr:row>35</xdr:row>
      <xdr:rowOff>169333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4AD684-4FBC-7F1E-821D-3E5A43E80A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571501</xdr:colOff>
      <xdr:row>16</xdr:row>
      <xdr:rowOff>25399</xdr:rowOff>
    </xdr:from>
    <xdr:to>
      <xdr:col>16</xdr:col>
      <xdr:colOff>28222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1B3BED-5648-C2CB-10DF-4F53AFB84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158745</xdr:colOff>
      <xdr:row>0</xdr:row>
      <xdr:rowOff>22676</xdr:rowOff>
    </xdr:from>
    <xdr:to>
      <xdr:col>15</xdr:col>
      <xdr:colOff>1307792</xdr:colOff>
      <xdr:row>2</xdr:row>
      <xdr:rowOff>83553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C166E3DA-8604-D12F-DC59-E5508AB2828B}"/>
            </a:ext>
          </a:extLst>
        </xdr:cNvPr>
        <xdr:cNvSpPr/>
      </xdr:nvSpPr>
      <xdr:spPr>
        <a:xfrm>
          <a:off x="158745" y="22676"/>
          <a:ext cx="21418915" cy="645745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="1">
              <a:solidFill>
                <a:schemeClr val="tx1"/>
              </a:solidFill>
            </a:rPr>
            <a:t>Highest contribution towards CPI Calculation </a:t>
          </a:r>
        </a:p>
      </xdr:txBody>
    </xdr:sp>
    <xdr:clientData/>
  </xdr:twoCellAnchor>
  <xdr:twoCellAnchor>
    <xdr:from>
      <xdr:col>0</xdr:col>
      <xdr:colOff>171622</xdr:colOff>
      <xdr:row>14</xdr:row>
      <xdr:rowOff>105834</xdr:rowOff>
    </xdr:from>
    <xdr:to>
      <xdr:col>4</xdr:col>
      <xdr:colOff>291756</xdr:colOff>
      <xdr:row>39</xdr:row>
      <xdr:rowOff>90714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B58F537-BF99-3EB3-6030-70820EAC4C73}"/>
            </a:ext>
          </a:extLst>
        </xdr:cNvPr>
        <xdr:cNvSpPr/>
      </xdr:nvSpPr>
      <xdr:spPr>
        <a:xfrm>
          <a:off x="171622" y="2971915"/>
          <a:ext cx="4736756" cy="4704475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en-US" sz="1800" b="1" i="0" u="sng">
              <a:solidFill>
                <a:schemeClr val="tx1"/>
              </a:solidFill>
              <a:latin typeface="+mn-lt"/>
              <a:ea typeface="+mn-ea"/>
              <a:cs typeface="+mn-cs"/>
            </a:rPr>
            <a:t>Key Findings :-</a:t>
          </a:r>
        </a:p>
        <a:p>
          <a:pPr marL="0" lvl="0" indent="0" algn="l"/>
          <a:r>
            <a:rPr lang="en-US" sz="1400" b="1">
              <a:solidFill>
                <a:schemeClr val="tx1"/>
              </a:solidFill>
              <a:latin typeface="+mn-lt"/>
              <a:ea typeface="+mn-ea"/>
              <a:cs typeface="+mn-cs"/>
            </a:rPr>
            <a:t>Food has the highest contribution to CPI, accounting for approximately 46–48% across Rural, Urban, and combined categories.</a:t>
          </a:r>
        </a:p>
        <a:p>
          <a:pPr marL="0" lvl="0" indent="0" algn="l"/>
          <a:endParaRPr lang="en-US" sz="14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lvl="0" indent="0" algn="l"/>
          <a:r>
            <a:rPr lang="en-US" sz="1400" b="1">
              <a:solidFill>
                <a:schemeClr val="tx1"/>
              </a:solidFill>
              <a:latin typeface="+mn-lt"/>
              <a:ea typeface="+mn-ea"/>
              <a:cs typeface="+mn-cs"/>
            </a:rPr>
            <a:t>Transport &amp; Light is another major contributor, with around 11% contribution in Rural and Urban areas.</a:t>
          </a:r>
        </a:p>
        <a:p>
          <a:pPr marL="0" lvl="0" indent="0" algn="l"/>
          <a:endParaRPr lang="en-US" sz="14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lvl="0" indent="0" algn="l"/>
          <a:r>
            <a:rPr lang="en-US" sz="1400" b="1">
              <a:solidFill>
                <a:schemeClr val="tx1"/>
              </a:solidFill>
              <a:latin typeface="+mn-lt"/>
              <a:ea typeface="+mn-ea"/>
              <a:cs typeface="+mn-cs"/>
            </a:rPr>
            <a:t>Clothing contributes approximately 10–12% to CPI across the categories.</a:t>
          </a:r>
        </a:p>
        <a:p>
          <a:pPr marL="0" lvl="0" indent="0" algn="l"/>
          <a:endParaRPr lang="en-US" sz="14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lvl="0" indent="0" algn="l"/>
          <a:r>
            <a:rPr lang="en-US" sz="1400" b="1">
              <a:solidFill>
                <a:schemeClr val="tx1"/>
              </a:solidFill>
              <a:latin typeface="+mn-lt"/>
              <a:ea typeface="+mn-ea"/>
              <a:cs typeface="+mn-cs"/>
            </a:rPr>
            <a:t>Education, Health, and Household have relatively smaller contributions.</a:t>
          </a:r>
        </a:p>
        <a:p>
          <a:pPr marL="0" lvl="0" indent="0" algn="l"/>
          <a:endParaRPr lang="en-US" sz="14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lvl="0" indent="0" algn="l"/>
          <a:r>
            <a:rPr lang="en-US" sz="1400" b="1">
              <a:solidFill>
                <a:schemeClr val="tx1"/>
              </a:solidFill>
              <a:latin typeface="+mn-lt"/>
              <a:ea typeface="+mn-ea"/>
              <a:cs typeface="+mn-cs"/>
            </a:rPr>
            <a:t>Overall, food prices play the most significant role in the CPI basket, highlighting their importance in household expenditure.</a:t>
          </a:r>
        </a:p>
        <a:p>
          <a:pPr marL="0" indent="0" algn="l"/>
          <a:endParaRPr lang="en-US" sz="1600" b="1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590904</xdr:colOff>
      <xdr:row>3</xdr:row>
      <xdr:rowOff>159693</xdr:rowOff>
    </xdr:from>
    <xdr:to>
      <xdr:col>21</xdr:col>
      <xdr:colOff>2</xdr:colOff>
      <xdr:row>19</xdr:row>
      <xdr:rowOff>26458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5A262-B55B-1603-9150-E7A6EA139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79375</xdr:colOff>
      <xdr:row>0</xdr:row>
      <xdr:rowOff>17641</xdr:rowOff>
    </xdr:from>
    <xdr:to>
      <xdr:col>20</xdr:col>
      <xdr:colOff>520347</xdr:colOff>
      <xdr:row>1</xdr:row>
      <xdr:rowOff>366537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18429550-9FBA-AE98-F7D7-532E452755B4}"/>
            </a:ext>
          </a:extLst>
        </xdr:cNvPr>
        <xdr:cNvSpPr/>
      </xdr:nvSpPr>
      <xdr:spPr>
        <a:xfrm>
          <a:off x="79375" y="17641"/>
          <a:ext cx="15751528" cy="534104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2400" b="1">
              <a:solidFill>
                <a:schemeClr val="tx1"/>
              </a:solidFill>
              <a:latin typeface="+mn-lt"/>
              <a:ea typeface="+mn-ea"/>
              <a:cs typeface="+mn-cs"/>
            </a:rPr>
            <a:t>A Trend of Year-on-Year increase in CPI</a:t>
          </a:r>
        </a:p>
      </xdr:txBody>
    </xdr:sp>
    <xdr:clientData/>
  </xdr:twoCellAnchor>
  <xdr:twoCellAnchor>
    <xdr:from>
      <xdr:col>9</xdr:col>
      <xdr:colOff>126998</xdr:colOff>
      <xdr:row>21</xdr:row>
      <xdr:rowOff>69273</xdr:rowOff>
    </xdr:from>
    <xdr:to>
      <xdr:col>20</xdr:col>
      <xdr:colOff>507997</xdr:colOff>
      <xdr:row>34</xdr:row>
      <xdr:rowOff>80819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95F6CE7C-EF48-EE26-4324-5D34D00E7F23}"/>
            </a:ext>
          </a:extLst>
        </xdr:cNvPr>
        <xdr:cNvSpPr/>
      </xdr:nvSpPr>
      <xdr:spPr>
        <a:xfrm>
          <a:off x="7770089" y="4156364"/>
          <a:ext cx="8093363" cy="2413000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r>
            <a:rPr lang="en-US" sz="1800">
              <a:solidFill>
                <a:schemeClr val="tx1"/>
              </a:solidFill>
            </a:rPr>
            <a:t>Key Finding :-</a:t>
          </a:r>
        </a:p>
        <a:p>
          <a:r>
            <a:rPr lang="en-US" sz="1800">
              <a:solidFill>
                <a:schemeClr val="tx1"/>
              </a:solidFill>
            </a:rPr>
            <a:t> </a:t>
          </a:r>
        </a:p>
        <a:p>
          <a:r>
            <a:rPr lang="en-US" sz="1800">
              <a:solidFill>
                <a:schemeClr val="tx1"/>
              </a:solidFill>
            </a:rPr>
            <a:t>The analysis shows that CPI inflation increased significantly in 2019 compared with the previous year. The main reason was a sharp rise in food prices, particularly vegetables, along with higher prices for other food items. According to the Government of India's Economic Survey 2019–20, food and beverages contributed approximately 54% of CPI-Combined inflation during April–December 2019. </a:t>
          </a:r>
        </a:p>
        <a:p>
          <a:pPr marL="0" indent="0" algn="l"/>
          <a:endParaRPr lang="en-US" sz="1800" b="1" i="0" u="sng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761998</xdr:colOff>
      <xdr:row>0</xdr:row>
      <xdr:rowOff>678088</xdr:rowOff>
    </xdr:from>
    <xdr:to>
      <xdr:col>17</xdr:col>
      <xdr:colOff>693207</xdr:colOff>
      <xdr:row>23</xdr:row>
      <xdr:rowOff>22930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E31755-9E81-A74D-D5B0-6AF6C9884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185854</xdr:colOff>
      <xdr:row>0</xdr:row>
      <xdr:rowOff>46182</xdr:rowOff>
    </xdr:from>
    <xdr:to>
      <xdr:col>20</xdr:col>
      <xdr:colOff>1177073</xdr:colOff>
      <xdr:row>0</xdr:row>
      <xdr:rowOff>658091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1C64F444-51B2-4300-B6B8-EC75AD21D24E}"/>
            </a:ext>
          </a:extLst>
        </xdr:cNvPr>
        <xdr:cNvSpPr/>
      </xdr:nvSpPr>
      <xdr:spPr>
        <a:xfrm>
          <a:off x="185854" y="46182"/>
          <a:ext cx="35719946" cy="611909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="1">
              <a:solidFill>
                <a:schemeClr val="tx1"/>
              </a:solidFill>
            </a:rPr>
            <a:t>Month-on-Month Change in Food CPI, June 2022–May 2023</a:t>
          </a:r>
        </a:p>
      </xdr:txBody>
    </xdr:sp>
    <xdr:clientData/>
  </xdr:twoCellAnchor>
  <xdr:twoCellAnchor>
    <xdr:from>
      <xdr:col>8</xdr:col>
      <xdr:colOff>697021</xdr:colOff>
      <xdr:row>37</xdr:row>
      <xdr:rowOff>82993</xdr:rowOff>
    </xdr:from>
    <xdr:to>
      <xdr:col>17</xdr:col>
      <xdr:colOff>694068</xdr:colOff>
      <xdr:row>61</xdr:row>
      <xdr:rowOff>29535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F62966-D285-0FA8-1D36-F2A01103E2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193260</xdr:colOff>
      <xdr:row>55</xdr:row>
      <xdr:rowOff>-1</xdr:rowOff>
    </xdr:from>
    <xdr:to>
      <xdr:col>7</xdr:col>
      <xdr:colOff>4064000</xdr:colOff>
      <xdr:row>82</xdr:row>
      <xdr:rowOff>52917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68D90E3D-5C46-42CA-9E2B-A83909CD1A7B}"/>
            </a:ext>
          </a:extLst>
        </xdr:cNvPr>
        <xdr:cNvSpPr/>
      </xdr:nvSpPr>
      <xdr:spPr>
        <a:xfrm>
          <a:off x="193260" y="10018888"/>
          <a:ext cx="11631851" cy="4815418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r>
            <a:rPr lang="en-US" sz="2400" b="1">
              <a:solidFill>
                <a:schemeClr val="tx1"/>
              </a:solidFill>
            </a:rPr>
            <a:t>Key</a:t>
          </a:r>
          <a:r>
            <a:rPr lang="en-US" sz="2400" b="1" baseline="0">
              <a:solidFill>
                <a:schemeClr val="tx1"/>
              </a:solidFill>
            </a:rPr>
            <a:t> </a:t>
          </a:r>
          <a:r>
            <a:rPr lang="en-US" sz="2400" b="1">
              <a:solidFill>
                <a:schemeClr val="tx1"/>
              </a:solidFill>
            </a:rPr>
            <a:t>Findings:-</a:t>
          </a:r>
        </a:p>
        <a:p>
          <a:endParaRPr lang="en-US" sz="2400" b="1">
            <a:solidFill>
              <a:schemeClr val="tx1"/>
            </a:solidFill>
          </a:endParaRPr>
        </a:p>
        <a:p>
          <a:pPr lvl="0"/>
          <a:r>
            <a:rPr lang="en-US" sz="2400" b="1">
              <a:solidFill>
                <a:schemeClr val="tx1"/>
              </a:solidFill>
            </a:rPr>
            <a:t>The overall Food Category CPI index increased by approximately 2% over the 12-month period.</a:t>
          </a:r>
        </a:p>
        <a:p>
          <a:pPr lvl="0"/>
          <a:endParaRPr lang="en-US" sz="2400" b="1">
            <a:solidFill>
              <a:schemeClr val="tx1"/>
            </a:solidFill>
          </a:endParaRPr>
        </a:p>
        <a:p>
          <a:pPr lvl="0"/>
          <a:r>
            <a:rPr lang="en-US" sz="2400" b="1">
              <a:solidFill>
                <a:schemeClr val="tx1"/>
              </a:solidFill>
            </a:rPr>
            <a:t>The highest increase in monthly inflation was in June 2022 at 1.0%, while the lowest was in December 2022 at −0.6%, indicating a decline in the index that month.</a:t>
          </a:r>
        </a:p>
        <a:p>
          <a:pPr lvl="0"/>
          <a:endParaRPr lang="en-US" sz="2400" b="1">
            <a:solidFill>
              <a:schemeClr val="tx1"/>
            </a:solidFill>
          </a:endParaRPr>
        </a:p>
        <a:p>
          <a:pPr lvl="0"/>
          <a:r>
            <a:rPr lang="en-US" sz="2400" b="1">
              <a:solidFill>
                <a:schemeClr val="tx1"/>
              </a:solidFill>
            </a:rPr>
            <a:t>Spices recorded the highest increase (16%), followed by cereals and products (12%).</a:t>
          </a:r>
        </a:p>
        <a:p>
          <a:pPr lvl="0"/>
          <a:endParaRPr lang="en-US" sz="2400" b="1">
            <a:solidFill>
              <a:schemeClr val="tx1"/>
            </a:solidFill>
          </a:endParaRPr>
        </a:p>
        <a:p>
          <a:pPr lvl="0"/>
          <a:r>
            <a:rPr lang="en-US" sz="2400" b="1">
              <a:solidFill>
                <a:schemeClr val="tx1"/>
              </a:solidFill>
            </a:rPr>
            <a:t>Oils and fats showed the largest decline (−15%), followed by vegetables (−12%).</a:t>
          </a:r>
        </a:p>
        <a:p>
          <a:pPr lvl="0"/>
          <a:endParaRPr lang="en-US" sz="2400" b="1">
            <a:solidFill>
              <a:schemeClr val="tx1"/>
            </a:solidFill>
          </a:endParaRPr>
        </a:p>
        <a:p>
          <a:pPr marL="0" indent="0" algn="l"/>
          <a:endParaRPr lang="en-US" sz="2400" b="1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14111</xdr:colOff>
      <xdr:row>25</xdr:row>
      <xdr:rowOff>14112</xdr:rowOff>
    </xdr:from>
    <xdr:to>
      <xdr:col>18</xdr:col>
      <xdr:colOff>1989666</xdr:colOff>
      <xdr:row>28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56A4CD7D-5CF2-4089-A480-5B40BC476060}"/>
            </a:ext>
          </a:extLst>
        </xdr:cNvPr>
        <xdr:cNvSpPr/>
      </xdr:nvSpPr>
      <xdr:spPr>
        <a:xfrm>
          <a:off x="5136444" y="5150556"/>
          <a:ext cx="25512889" cy="536222"/>
        </a:xfrm>
        <a:prstGeom prst="round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="1">
              <a:solidFill>
                <a:schemeClr val="bg1"/>
              </a:solidFill>
            </a:rPr>
            <a:t>Absolute</a:t>
          </a:r>
          <a:r>
            <a:rPr lang="en-US" sz="2400" b="1" baseline="0">
              <a:solidFill>
                <a:schemeClr val="bg1"/>
              </a:solidFill>
            </a:rPr>
            <a:t> Changes in Inflation over 12 Months period </a:t>
          </a:r>
          <a:endParaRPr lang="en-US" sz="2400" b="1">
            <a:solidFill>
              <a:schemeClr val="bg1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257626</xdr:colOff>
      <xdr:row>5</xdr:row>
      <xdr:rowOff>25400</xdr:rowOff>
    </xdr:from>
    <xdr:to>
      <xdr:col>21</xdr:col>
      <xdr:colOff>362754</xdr:colOff>
      <xdr:row>32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CCE6AB-8813-5E12-2F26-09C0F361C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1043789</xdr:colOff>
      <xdr:row>29</xdr:row>
      <xdr:rowOff>162331</xdr:rowOff>
    </xdr:from>
    <xdr:to>
      <xdr:col>10</xdr:col>
      <xdr:colOff>453227</xdr:colOff>
      <xdr:row>31</xdr:row>
      <xdr:rowOff>130582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220B8D44-48FF-F9AF-E098-61C2D72BD479}"/>
            </a:ext>
          </a:extLst>
        </xdr:cNvPr>
        <xdr:cNvSpPr/>
      </xdr:nvSpPr>
      <xdr:spPr>
        <a:xfrm>
          <a:off x="8168984" y="5423760"/>
          <a:ext cx="1751516" cy="331108"/>
        </a:xfrm>
        <a:prstGeom prst="round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Befor Covid -19 (2019)</a:t>
          </a:r>
        </a:p>
      </xdr:txBody>
    </xdr:sp>
    <xdr:clientData/>
  </xdr:twoCellAnchor>
  <xdr:twoCellAnchor>
    <xdr:from>
      <xdr:col>0</xdr:col>
      <xdr:colOff>239624</xdr:colOff>
      <xdr:row>0</xdr:row>
      <xdr:rowOff>83867</xdr:rowOff>
    </xdr:from>
    <xdr:to>
      <xdr:col>22</xdr:col>
      <xdr:colOff>59907</xdr:colOff>
      <xdr:row>3</xdr:row>
      <xdr:rowOff>84112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EAF640D7-6C5E-4549-8BCE-3E50C4865656}"/>
            </a:ext>
          </a:extLst>
        </xdr:cNvPr>
        <xdr:cNvSpPr/>
      </xdr:nvSpPr>
      <xdr:spPr>
        <a:xfrm>
          <a:off x="239624" y="83867"/>
          <a:ext cx="16617830" cy="539396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Impact of </a:t>
          </a:r>
          <a:r>
            <a:rPr lang="en-US" sz="2400" b="1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COVID-19 Pandemic on Inflation</a:t>
          </a:r>
          <a:endParaRPr lang="en-US" sz="2400" b="1">
            <a:solidFill>
              <a:schemeClr val="tx1"/>
            </a:solidFill>
            <a:effectLst/>
          </a:endParaRPr>
        </a:p>
        <a:p>
          <a:pPr marL="0" indent="0" algn="ctr"/>
          <a:endParaRPr lang="en-US" sz="2400" b="1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151192</xdr:colOff>
      <xdr:row>35</xdr:row>
      <xdr:rowOff>0</xdr:rowOff>
    </xdr:from>
    <xdr:to>
      <xdr:col>21</xdr:col>
      <xdr:colOff>559404</xdr:colOff>
      <xdr:row>58</xdr:row>
      <xdr:rowOff>96212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E7813DF2-A70D-4CE7-930D-B311B229340A}"/>
            </a:ext>
          </a:extLst>
        </xdr:cNvPr>
        <xdr:cNvSpPr/>
      </xdr:nvSpPr>
      <xdr:spPr>
        <a:xfrm>
          <a:off x="7290131" y="6398106"/>
          <a:ext cx="9413667" cy="4300682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r>
            <a:rPr lang="en-US" sz="2000">
              <a:solidFill>
                <a:schemeClr val="tx1"/>
              </a:solidFill>
            </a:rPr>
            <a:t>Key Findings:-</a:t>
          </a:r>
        </a:p>
        <a:p>
          <a:endParaRPr lang="en-US" sz="2000">
            <a:solidFill>
              <a:schemeClr val="tx1"/>
            </a:solidFill>
          </a:endParaRPr>
        </a:p>
        <a:p>
          <a:pPr lvl="0"/>
          <a:r>
            <a:rPr lang="en-US" sz="2000">
              <a:solidFill>
                <a:schemeClr val="tx1"/>
              </a:solidFill>
            </a:rPr>
            <a:t>CPI inflation increased steadily during 2019 and reached its peak in late 2020.</a:t>
          </a:r>
        </a:p>
        <a:p>
          <a:pPr lvl="0"/>
          <a:r>
            <a:rPr lang="en-US" sz="2000">
              <a:solidFill>
                <a:schemeClr val="tx1"/>
              </a:solidFill>
            </a:rPr>
            <a:t>Inflation showed a gradual decline during 2021.</a:t>
          </a:r>
        </a:p>
        <a:p>
          <a:pPr lvl="0"/>
          <a:endParaRPr lang="en-US" sz="2000">
            <a:solidFill>
              <a:schemeClr val="tx1"/>
            </a:solidFill>
          </a:endParaRPr>
        </a:p>
        <a:p>
          <a:pPr lvl="0"/>
          <a:r>
            <a:rPr lang="en-US" sz="2000">
              <a:solidFill>
                <a:schemeClr val="tx1"/>
              </a:solidFill>
            </a:rPr>
            <a:t>In early 2022, inflation turned negative before recovering sharply.</a:t>
          </a:r>
        </a:p>
        <a:p>
          <a:pPr lvl="0"/>
          <a:endParaRPr lang="en-US" sz="2000">
            <a:solidFill>
              <a:schemeClr val="tx1"/>
            </a:solidFill>
          </a:endParaRPr>
        </a:p>
        <a:p>
          <a:pPr lvl="0"/>
          <a:r>
            <a:rPr lang="en-US" sz="2000">
              <a:solidFill>
                <a:schemeClr val="tx1"/>
              </a:solidFill>
            </a:rPr>
            <a:t>The trend indicates that inflation fluctuated considerably before, during, and after the COVID-19 period.</a:t>
          </a:r>
        </a:p>
        <a:p>
          <a:pPr lvl="0"/>
          <a:endParaRPr lang="en-US" sz="2000">
            <a:solidFill>
              <a:schemeClr val="tx1"/>
            </a:solidFill>
          </a:endParaRPr>
        </a:p>
        <a:p>
          <a:pPr lvl="0"/>
          <a:r>
            <a:rPr lang="en-US" sz="2000">
              <a:solidFill>
                <a:schemeClr val="tx1"/>
              </a:solidFill>
            </a:rPr>
            <a:t>These changes may reflect the combined effects of the pandemic, supply-chain disruptions, and changing demand.</a:t>
          </a:r>
        </a:p>
        <a:p>
          <a:pPr marL="0" indent="0" algn="l"/>
          <a:endParaRPr lang="en-US" sz="2000" b="1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0.41353</cdr:x>
      <cdr:y>0.91803</cdr:y>
    </cdr:from>
    <cdr:to>
      <cdr:x>0.64125</cdr:x>
      <cdr:y>0.98557</cdr:y>
    </cdr:to>
    <cdr:sp macro="" textlink="">
      <cdr:nvSpPr>
        <cdr:cNvPr id="2" name="Rectangle: Rounded Corners 1">
          <a:extLst xmlns:a="http://schemas.openxmlformats.org/drawingml/2006/main">
            <a:ext uri="{FF2B5EF4-FFF2-40B4-BE49-F238E27FC236}">
              <a16:creationId xmlns:a16="http://schemas.microsoft.com/office/drawing/2014/main" id="{220B8D44-48FF-F9AF-E098-61C2D72BD479}"/>
            </a:ext>
          </a:extLst>
        </cdr:cNvPr>
        <cdr:cNvSpPr/>
      </cdr:nvSpPr>
      <cdr:spPr>
        <a:xfrm xmlns:a="http://schemas.openxmlformats.org/drawingml/2006/main">
          <a:off x="3789850" y="4540280"/>
          <a:ext cx="2086959" cy="33402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>
            <a:lumMod val="75000"/>
          </a:schemeClr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/>
            <a:t>Durning</a:t>
          </a:r>
          <a:r>
            <a:rPr lang="en-US" sz="1100" baseline="0"/>
            <a:t> Covid -19 (2020-2021)</a:t>
          </a:r>
          <a:endParaRPr lang="en-US" sz="1100"/>
        </a:p>
      </cdr:txBody>
    </cdr:sp>
  </cdr:relSizeAnchor>
  <cdr:relSizeAnchor xmlns:cdr="http://schemas.openxmlformats.org/drawingml/2006/chartDrawing">
    <cdr:from>
      <cdr:x>0.78755</cdr:x>
      <cdr:y>0.91597</cdr:y>
    </cdr:from>
    <cdr:to>
      <cdr:x>0.9784</cdr:x>
      <cdr:y>0.98351</cdr:y>
    </cdr:to>
    <cdr:sp macro="" textlink="">
      <cdr:nvSpPr>
        <cdr:cNvPr id="3" name="Rectangle: Rounded Corners 2">
          <a:extLst xmlns:a="http://schemas.openxmlformats.org/drawingml/2006/main">
            <a:ext uri="{FF2B5EF4-FFF2-40B4-BE49-F238E27FC236}">
              <a16:creationId xmlns:a16="http://schemas.microsoft.com/office/drawing/2014/main" id="{52B214BE-5245-2737-68A7-A55ECECF906B}"/>
            </a:ext>
          </a:extLst>
        </cdr:cNvPr>
        <cdr:cNvSpPr/>
      </cdr:nvSpPr>
      <cdr:spPr>
        <a:xfrm xmlns:a="http://schemas.openxmlformats.org/drawingml/2006/main">
          <a:off x="7214016" y="4486944"/>
          <a:ext cx="1748198" cy="33085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>
            <a:lumMod val="75000"/>
          </a:schemeClr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/>
            <a:t>After Covid</a:t>
          </a:r>
          <a:r>
            <a:rPr lang="en-US" sz="1100" baseline="0"/>
            <a:t> -19 (2022)</a:t>
          </a:r>
          <a:endParaRPr lang="en-US" sz="1100"/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50396</xdr:rowOff>
    </xdr:from>
    <xdr:to>
      <xdr:col>28</xdr:col>
      <xdr:colOff>66146</xdr:colOff>
      <xdr:row>0</xdr:row>
      <xdr:rowOff>662607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138EB98-6105-4CB4-8076-142DA38D673E}"/>
            </a:ext>
          </a:extLst>
        </xdr:cNvPr>
        <xdr:cNvSpPr/>
      </xdr:nvSpPr>
      <xdr:spPr>
        <a:xfrm>
          <a:off x="0" y="50396"/>
          <a:ext cx="18335625" cy="612211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How crude oil price fluctuations influences India's inflation</a:t>
          </a:r>
          <a:endParaRPr lang="en-US" sz="2400" b="1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128841</xdr:rowOff>
    </xdr:to>
    <xdr:sp macro="" textlink="">
      <xdr:nvSpPr>
        <xdr:cNvPr id="10241" name="Text Box 1">
          <a:extLst>
            <a:ext uri="{FF2B5EF4-FFF2-40B4-BE49-F238E27FC236}">
              <a16:creationId xmlns:a16="http://schemas.microsoft.com/office/drawing/2014/main" id="{627CCEA5-1317-1741-991C-FC4C98816297}"/>
            </a:ext>
          </a:extLst>
        </xdr:cNvPr>
        <xdr:cNvSpPr txBox="1">
          <a:spLocks noChangeArrowheads="1"/>
        </xdr:cNvSpPr>
      </xdr:nvSpPr>
      <xdr:spPr bwMode="auto">
        <a:xfrm flipH="1">
          <a:off x="0" y="0"/>
          <a:ext cx="0" cy="12884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crude oil price fluctuations</a:t>
          </a:r>
        </a:p>
      </xdr:txBody>
    </xdr:sp>
    <xdr:clientData/>
  </xdr:twoCellAnchor>
  <xdr:twoCellAnchor>
    <xdr:from>
      <xdr:col>20</xdr:col>
      <xdr:colOff>490682</xdr:colOff>
      <xdr:row>3</xdr:row>
      <xdr:rowOff>0</xdr:rowOff>
    </xdr:from>
    <xdr:to>
      <xdr:col>27</xdr:col>
      <xdr:colOff>187613</xdr:colOff>
      <xdr:row>12</xdr:row>
      <xdr:rowOff>21526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DB1F1E8-6DC3-5C9F-193E-03C548EEE3D7}"/>
            </a:ext>
          </a:extLst>
        </xdr:cNvPr>
        <xdr:cNvSpPr/>
      </xdr:nvSpPr>
      <xdr:spPr>
        <a:xfrm>
          <a:off x="13840114" y="1962727"/>
          <a:ext cx="3939885" cy="2460504"/>
        </a:xfrm>
        <a:prstGeom prst="rect">
          <a:avLst/>
        </a:prstGeom>
        <a:ln>
          <a:solidFill>
            <a:srgbClr val="002060"/>
          </a:solidFill>
        </a:ln>
        <a:effectLst>
          <a:glow rad="228600">
            <a:schemeClr val="accent2">
              <a:satMod val="175000"/>
              <a:alpha val="50000"/>
            </a:schemeClr>
          </a:glow>
        </a:effectLst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800" b="1" u="sng"/>
            <a:t>Correlation value</a:t>
          </a:r>
          <a:r>
            <a:rPr lang="en-US" sz="1800" b="1" u="sng" baseline="0"/>
            <a:t> </a:t>
          </a:r>
          <a:r>
            <a:rPr lang="en-US" sz="1800" b="1" u="sng"/>
            <a:t>Meaning</a:t>
          </a:r>
          <a:endParaRPr lang="en-US" sz="1600">
            <a:ln>
              <a:solidFill>
                <a:srgbClr val="0070C0"/>
              </a:solidFill>
            </a:ln>
          </a:endParaRPr>
        </a:p>
        <a:p>
          <a:endParaRPr lang="en-US" sz="1600"/>
        </a:p>
        <a:p>
          <a:endParaRPr lang="en-US" sz="1600"/>
        </a:p>
        <a:p>
          <a:r>
            <a:rPr lang="en-US" sz="1600" b="1">
              <a:solidFill>
                <a:schemeClr val="accent6">
                  <a:lumMod val="75000"/>
                </a:schemeClr>
              </a:solidFill>
            </a:rPr>
            <a:t>Close to +1 - Strong positive  relationship</a:t>
          </a:r>
        </a:p>
        <a:p>
          <a:endParaRPr lang="en-US" sz="1600"/>
        </a:p>
        <a:p>
          <a:r>
            <a:rPr lang="en-US" sz="1600" b="1">
              <a:solidFill>
                <a:srgbClr val="FFC000"/>
              </a:solidFill>
            </a:rPr>
            <a:t>Close to 0 - Weak linear relationship</a:t>
          </a:r>
        </a:p>
        <a:p>
          <a:endParaRPr lang="en-US" sz="16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600" b="1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Close to −1 -</a:t>
          </a:r>
          <a:r>
            <a:rPr lang="en-US" sz="1600" b="1" baseline="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600" b="1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Strong negative relationship</a:t>
          </a:r>
          <a:endParaRPr lang="en-US" sz="1600" b="1">
            <a:solidFill>
              <a:schemeClr val="accent2">
                <a:lumMod val="75000"/>
              </a:schemeClr>
            </a:solidFill>
            <a:effectLst/>
          </a:endParaRPr>
        </a:p>
        <a:p>
          <a:pPr algn="l"/>
          <a:endParaRPr lang="en-US" sz="1600"/>
        </a:p>
      </xdr:txBody>
    </xdr:sp>
    <xdr:clientData/>
  </xdr:twoCellAnchor>
  <xdr:twoCellAnchor>
    <xdr:from>
      <xdr:col>2</xdr:col>
      <xdr:colOff>446340</xdr:colOff>
      <xdr:row>24</xdr:row>
      <xdr:rowOff>319423</xdr:rowOff>
    </xdr:from>
    <xdr:to>
      <xdr:col>20</xdr:col>
      <xdr:colOff>27607</xdr:colOff>
      <xdr:row>50</xdr:row>
      <xdr:rowOff>165852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ACAD2AF7-D22D-4052-B130-684012702482}"/>
            </a:ext>
          </a:extLst>
        </xdr:cNvPr>
        <xdr:cNvSpPr/>
      </xdr:nvSpPr>
      <xdr:spPr>
        <a:xfrm>
          <a:off x="2889710" y="7801380"/>
          <a:ext cx="10514310" cy="4705559"/>
        </a:xfrm>
        <a:prstGeom prst="roundRect">
          <a:avLst/>
        </a:prstGeom>
        <a:gradFill flip="none" rotWithShape="1">
          <a:gsLst>
            <a:gs pos="20694">
              <a:schemeClr val="accent1">
                <a:lumMod val="20000"/>
                <a:lumOff val="80000"/>
              </a:schemeClr>
            </a:gs>
            <a:gs pos="47138">
              <a:srgbClr val="C6D4ED"/>
            </a:gs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r>
            <a:rPr lang="en-US" sz="2000" b="1">
              <a:solidFill>
                <a:schemeClr val="tx1">
                  <a:lumMod val="95000"/>
                  <a:lumOff val="5000"/>
                </a:schemeClr>
              </a:solidFill>
            </a:rPr>
            <a:t>Key</a:t>
          </a:r>
          <a:r>
            <a:rPr lang="en-US" sz="2000" b="1" baseline="0">
              <a:solidFill>
                <a:schemeClr val="tx1">
                  <a:lumMod val="95000"/>
                  <a:lumOff val="5000"/>
                </a:schemeClr>
              </a:solidFill>
            </a:rPr>
            <a:t> </a:t>
          </a:r>
          <a:r>
            <a:rPr lang="en-US" sz="2000" b="1">
              <a:solidFill>
                <a:schemeClr val="tx1">
                  <a:lumMod val="95000"/>
                  <a:lumOff val="5000"/>
                </a:schemeClr>
              </a:solidFill>
            </a:rPr>
            <a:t>Findings:-</a:t>
          </a:r>
        </a:p>
        <a:p>
          <a:endParaRPr lang="en-US" sz="2000" b="1">
            <a:solidFill>
              <a:schemeClr val="tx1">
                <a:lumMod val="95000"/>
                <a:lumOff val="5000"/>
              </a:schemeClr>
            </a:solidFill>
          </a:endParaRPr>
        </a:p>
        <a:p>
          <a:pPr lvl="0"/>
          <a:r>
            <a:rPr lang="en-US" sz="2000">
              <a:solidFill>
                <a:schemeClr val="tx1">
                  <a:lumMod val="95000"/>
                  <a:lumOff val="5000"/>
                </a:schemeClr>
              </a:solidFill>
            </a:rPr>
            <a:t>Correlation = +1: Indicates a perfect positive relationship between imported crude oil price changes and CPI category changes.</a:t>
          </a:r>
        </a:p>
        <a:p>
          <a:pPr lvl="0"/>
          <a:endParaRPr lang="en-US" sz="2000">
            <a:solidFill>
              <a:schemeClr val="tx1">
                <a:lumMod val="95000"/>
                <a:lumOff val="5000"/>
              </a:schemeClr>
            </a:solidFill>
          </a:endParaRPr>
        </a:p>
        <a:p>
          <a:pPr lvl="0"/>
          <a:r>
            <a:rPr lang="en-US" sz="2000">
              <a:solidFill>
                <a:schemeClr val="tx1">
                  <a:lumMod val="95000"/>
                  <a:lumOff val="5000"/>
                </a:schemeClr>
              </a:solidFill>
            </a:rPr>
            <a:t>Correlation = −1: Indicates a perfect negative relationship, where the variables move in opposite directions.</a:t>
          </a:r>
        </a:p>
        <a:p>
          <a:pPr lvl="0"/>
          <a:endParaRPr lang="en-US" sz="2000">
            <a:solidFill>
              <a:schemeClr val="tx1">
                <a:lumMod val="95000"/>
                <a:lumOff val="5000"/>
              </a:schemeClr>
            </a:solidFill>
          </a:endParaRPr>
        </a:p>
        <a:p>
          <a:pPr lvl="0"/>
          <a:r>
            <a:rPr lang="en-US" sz="2000">
              <a:solidFill>
                <a:schemeClr val="tx1">
                  <a:lumMod val="95000"/>
                  <a:lumOff val="5000"/>
                </a:schemeClr>
              </a:solidFill>
            </a:rPr>
            <a:t>Correlation close to 0: Indicates a weak linear relationship between oil price changes and CPI category changes.</a:t>
          </a:r>
        </a:p>
        <a:p>
          <a:pPr lvl="0"/>
          <a:endParaRPr lang="en-US" sz="2000">
            <a:solidFill>
              <a:schemeClr val="tx1">
                <a:lumMod val="95000"/>
                <a:lumOff val="5000"/>
              </a:schemeClr>
            </a:solidFill>
          </a:endParaRPr>
        </a:p>
        <a:p>
          <a:pPr lvl="0"/>
          <a:r>
            <a:rPr lang="en-US" sz="2000">
              <a:solidFill>
                <a:schemeClr val="tx1">
                  <a:lumMod val="95000"/>
                  <a:lumOff val="5000"/>
                </a:schemeClr>
              </a:solidFill>
            </a:rPr>
            <a:t>Conclusion: The category with a correlation closest to +1 or −1 has the strongest linear relationship with imported crude oil price fluctuations during 2021–2023.</a:t>
          </a:r>
        </a:p>
        <a:p>
          <a:pPr marL="0" indent="0" algn="ctr"/>
          <a:endParaRPr lang="en-US" sz="2000" b="1">
            <a:solidFill>
              <a:schemeClr val="tx1">
                <a:lumMod val="95000"/>
                <a:lumOff val="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15622</xdr:colOff>
      <xdr:row>1</xdr:row>
      <xdr:rowOff>449900</xdr:rowOff>
    </xdr:from>
    <xdr:to>
      <xdr:col>19</xdr:col>
      <xdr:colOff>574524</xdr:colOff>
      <xdr:row>24</xdr:row>
      <xdr:rowOff>17171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6DDAB95-69D8-AE00-BC29-79284F7D53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194597</xdr:colOff>
      <xdr:row>0</xdr:row>
      <xdr:rowOff>61452</xdr:rowOff>
    </xdr:from>
    <xdr:to>
      <xdr:col>25</xdr:col>
      <xdr:colOff>204839</xdr:colOff>
      <xdr:row>2</xdr:row>
      <xdr:rowOff>112661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3FADEA06-C00A-84B5-10A4-5373D14B25C2}"/>
            </a:ext>
          </a:extLst>
        </xdr:cNvPr>
        <xdr:cNvSpPr/>
      </xdr:nvSpPr>
      <xdr:spPr>
        <a:xfrm>
          <a:off x="194597" y="61452"/>
          <a:ext cx="19203629" cy="419919"/>
        </a:xfrm>
        <a:prstGeom prst="round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3200">
              <a:solidFill>
                <a:schemeClr val="bg1"/>
              </a:solidFill>
            </a:rPr>
            <a:t>Do not delete this Sheet</a:t>
          </a:r>
          <a:r>
            <a:rPr lang="en-US" sz="3200" baseline="0">
              <a:solidFill>
                <a:schemeClr val="bg1"/>
              </a:solidFill>
            </a:rPr>
            <a:t> </a:t>
          </a:r>
          <a:endParaRPr lang="en-US" sz="3200">
            <a:solidFill>
              <a:schemeClr val="bg1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53.770948032405" createdVersion="8" refreshedVersion="8" minRefreshableVersion="3" recordCount="80" xr:uid="{610174F0-B282-4529-AC50-D604A2F67124}">
  <cacheSource type="worksheet">
    <worksheetSource ref="A1:D1048576" sheet="YOY Trend"/>
  </cacheSource>
  <cacheFields count="4">
    <cacheField name="Sector" numFmtId="0">
      <sharedItems containsBlank="1"/>
    </cacheField>
    <cacheField name="Year" numFmtId="0">
      <sharedItems containsString="0" containsBlank="1" containsNumber="1" containsInteger="1" minValue="2017" maxValue="2023" count="8">
        <n v="2017"/>
        <n v="2018"/>
        <n v="2019"/>
        <n v="2020"/>
        <n v="2021"/>
        <n v="2022"/>
        <n v="2023"/>
        <m/>
      </sharedItems>
    </cacheField>
    <cacheField name="Month" numFmtId="0">
      <sharedItems containsBlank="1" count="13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m/>
      </sharedItems>
    </cacheField>
    <cacheField name="General index" numFmtId="0">
      <sharedItems containsString="0" containsBlank="1" containsNumber="1" minValue="130.30000000000001" maxValue="179.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53.797536689817" createdVersion="8" refreshedVersion="8" minRefreshableVersion="3" recordCount="39" xr:uid="{44955B80-C23E-4D2A-B3C9-AC9A9BE9B08F}">
  <cacheSource type="worksheet">
    <worksheetSource ref="A2:D41" sheet="MOM Change CPI"/>
  </cacheSource>
  <cacheFields count="4">
    <cacheField name="Sector" numFmtId="0">
      <sharedItems/>
    </cacheField>
    <cacheField name="Year" numFmtId="0">
      <sharedItems containsSemiMixedTypes="0" containsString="0" containsNumber="1" containsInteger="1" minValue="2022" maxValue="2023" count="2">
        <n v="2022"/>
        <n v="2023"/>
      </sharedItems>
    </cacheField>
    <cacheField name="Month" numFmtId="0">
      <sharedItems count="12"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</sharedItems>
    </cacheField>
    <cacheField name="Total CPI" numFmtId="0">
      <sharedItems containsSemiMixedTypes="0" containsString="0" containsNumber="1" minValue="2226.8000000000002" maxValue="2335.1000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304.512512847221" createdVersion="8" refreshedVersion="8" minRefreshableVersion="3" recordCount="10" xr:uid="{1A22C234-7422-4956-8C32-3145F203B311}">
  <cacheSource type="worksheet">
    <worksheetSource ref="A4:D14" sheet="Highest contribution CPI"/>
  </cacheSource>
  <cacheFields count="4">
    <cacheField name="Categories" numFmtId="0">
      <sharedItems count="10">
        <s v="CLOTHING"/>
        <s v="EDUCATION"/>
        <s v="FOOD"/>
        <s v="HEALTH"/>
        <s v="HOUSEHOLD"/>
        <s v="LUXUARY"/>
        <s v="TOBACCO &amp; INTOXICANTS"/>
        <s v="TRANSPORT &amp; LIGHT"/>
        <s v="MISC"/>
        <s v="GI"/>
      </sharedItems>
    </cacheField>
    <cacheField name="Rural+Urban" numFmtId="0">
      <sharedItems containsSemiMixedTypes="0" containsString="0" containsNumber="1" minValue="175.7" maxValue="2136.9"/>
    </cacheField>
    <cacheField name="Rural " numFmtId="0">
      <sharedItems containsSemiMixedTypes="0" containsString="0" containsNumber="1" minValue="169.7" maxValue="2304.9"/>
    </cacheField>
    <cacheField name="Urban " numFmtId="0">
      <sharedItems containsSemiMixedTypes="0" containsString="0" containsNumber="1" minValue="160.4" maxValue="2293.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307.604948263892" createdVersion="8" refreshedVersion="8" minRefreshableVersion="3" recordCount="48" xr:uid="{74E54F4D-A8B7-4BDA-AB4A-42DC1BEE85DF}">
  <cacheSource type="worksheet">
    <worksheetSource ref="A5:C53" sheet="Impact of Covid-19"/>
  </cacheSource>
  <cacheFields count="3">
    <cacheField name="Years" numFmtId="0">
      <sharedItems containsSemiMixedTypes="0" containsString="0" containsNumber="1" containsInteger="1" minValue="2019" maxValue="2022" count="4">
        <n v="2019"/>
        <n v="2020"/>
        <n v="2021"/>
        <n v="2022"/>
      </sharedItems>
    </cacheField>
    <cacheField name="Months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Total CPI " numFmtId="164">
      <sharedItems containsSemiMixedTypes="0" containsString="0" containsNumber="1" minValue="2482.4550999999997" maxValue="2666.2551000000003" count="46">
        <n v="2482.6550999999999"/>
        <n v="2482.4550999999997"/>
        <n v="2484.3550999999998"/>
        <n v="2542.2823727272726"/>
        <n v="2519.0551"/>
        <n v="2523.3550999999998"/>
        <n v="2526.1550999999999"/>
        <n v="2529.2550999999999"/>
        <n v="2533.0551"/>
        <n v="2535.5551"/>
        <n v="2539.6550999999995"/>
        <n v="2541.7550999999999"/>
        <n v="2544.4551000000001"/>
        <n v="2547.4551000000001"/>
        <n v="2551.3550999999998"/>
        <n v="2554.7550999999999"/>
        <n v="2558.7551000000003"/>
        <n v="2564.3550999999998"/>
        <n v="2571.9551000000001"/>
        <n v="2578.7550999999999"/>
        <n v="2584.6551000000004"/>
        <n v="2591.7550999999994"/>
        <n v="2598.4551000000001"/>
        <n v="2609.1550999999999"/>
        <n v="2617.7550999999999"/>
        <n v="2627.0551"/>
        <n v="2628.0551000000005"/>
        <n v="2630.1550999999999"/>
        <n v="2632.3550999999993"/>
        <n v="2629.7551000000003"/>
        <n v="2630.9551000000001"/>
        <n v="2630.2550999999999"/>
        <n v="2629.4551000000001"/>
        <n v="2629.6550999999999"/>
        <n v="2629.1551000000004"/>
        <n v="2639.3117233766238"/>
        <n v="2643.5735415584418"/>
        <n v="2642.92471038961"/>
        <n v="2615.706562337662"/>
        <n v="2595.451362337662"/>
        <n v="2574.793068831169"/>
        <n v="2597.4545935064934"/>
        <n v="2627.5479753246759"/>
        <n v="2657.5551"/>
        <n v="2657.5551000000005"/>
        <n v="2666.255100000000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s v="Rural+Urban"/>
    <x v="0"/>
    <x v="0"/>
    <n v="130.30000000000001"/>
  </r>
  <r>
    <s v="Rural+Urban"/>
    <x v="0"/>
    <x v="1"/>
    <n v="130.6"/>
  </r>
  <r>
    <s v="Rural+Urban"/>
    <x v="0"/>
    <x v="2"/>
    <n v="130.9"/>
  </r>
  <r>
    <s v="Rural+Urban"/>
    <x v="0"/>
    <x v="3"/>
    <n v="131.1"/>
  </r>
  <r>
    <s v="Rural+Urban"/>
    <x v="0"/>
    <x v="4"/>
    <n v="131.4"/>
  </r>
  <r>
    <s v="Rural+Urban"/>
    <x v="0"/>
    <x v="5"/>
    <n v="132"/>
  </r>
  <r>
    <s v="Rural+Urban"/>
    <x v="0"/>
    <x v="6"/>
    <n v="134.19999999999999"/>
  </r>
  <r>
    <s v="Rural+Urban"/>
    <x v="0"/>
    <x v="7"/>
    <n v="135.4"/>
  </r>
  <r>
    <s v="Rural+Urban"/>
    <x v="0"/>
    <x v="8"/>
    <n v="135.19999999999999"/>
  </r>
  <r>
    <s v="Rural+Urban"/>
    <x v="0"/>
    <x v="9"/>
    <n v="136.1"/>
  </r>
  <r>
    <s v="Rural+Urban"/>
    <x v="0"/>
    <x v="10"/>
    <n v="137.6"/>
  </r>
  <r>
    <s v="Rural+Urban"/>
    <x v="0"/>
    <x v="11"/>
    <n v="137.19999999999999"/>
  </r>
  <r>
    <s v="Rural+Urban"/>
    <x v="1"/>
    <x v="0"/>
    <n v="136.9"/>
  </r>
  <r>
    <s v="Rural+Urban"/>
    <x v="1"/>
    <x v="1"/>
    <n v="136.4"/>
  </r>
  <r>
    <s v="Rural+Urban"/>
    <x v="1"/>
    <x v="2"/>
    <n v="136.5"/>
  </r>
  <r>
    <s v="Rural+Urban"/>
    <x v="1"/>
    <x v="3"/>
    <n v="137.1"/>
  </r>
  <r>
    <s v="Rural+Urban"/>
    <x v="1"/>
    <x v="4"/>
    <n v="137.80000000000001"/>
  </r>
  <r>
    <s v="Rural+Urban"/>
    <x v="1"/>
    <x v="5"/>
    <n v="138.5"/>
  </r>
  <r>
    <s v="Rural+Urban"/>
    <x v="1"/>
    <x v="6"/>
    <n v="139.80000000000001"/>
  </r>
  <r>
    <s v="Rural+Urban"/>
    <x v="1"/>
    <x v="7"/>
    <n v="140.4"/>
  </r>
  <r>
    <s v="Rural+Urban"/>
    <x v="1"/>
    <x v="8"/>
    <n v="140.19999999999999"/>
  </r>
  <r>
    <s v="Rural+Urban"/>
    <x v="1"/>
    <x v="9"/>
    <n v="140.80000000000001"/>
  </r>
  <r>
    <s v="Rural+Urban"/>
    <x v="1"/>
    <x v="10"/>
    <n v="140.80000000000001"/>
  </r>
  <r>
    <s v="Rural+Urban"/>
    <x v="1"/>
    <x v="11"/>
    <n v="140.1"/>
  </r>
  <r>
    <s v="Rural+Urban"/>
    <x v="2"/>
    <x v="0"/>
    <n v="139.6"/>
  </r>
  <r>
    <s v="Rural+Urban"/>
    <x v="2"/>
    <x v="1"/>
    <n v="139.9"/>
  </r>
  <r>
    <s v="Rural+Urban"/>
    <x v="2"/>
    <x v="2"/>
    <n v="140.4"/>
  </r>
  <r>
    <s v="Rural+Urban"/>
    <x v="2"/>
    <x v="4"/>
    <n v="142"/>
  </r>
  <r>
    <s v="Rural+Urban"/>
    <x v="2"/>
    <x v="5"/>
    <n v="142.9"/>
  </r>
  <r>
    <s v="Rural+Urban"/>
    <x v="2"/>
    <x v="6"/>
    <n v="144.19999999999999"/>
  </r>
  <r>
    <s v="Rural+Urban"/>
    <x v="2"/>
    <x v="7"/>
    <n v="145"/>
  </r>
  <r>
    <s v="Rural+Urban"/>
    <x v="2"/>
    <x v="8"/>
    <n v="145.80000000000001"/>
  </r>
  <r>
    <s v="Rural+Urban"/>
    <x v="2"/>
    <x v="9"/>
    <n v="147.19999999999999"/>
  </r>
  <r>
    <s v="Rural+Urban"/>
    <x v="2"/>
    <x v="10"/>
    <n v="148.6"/>
  </r>
  <r>
    <s v="Rural+Urban"/>
    <x v="2"/>
    <x v="11"/>
    <n v="150.4"/>
  </r>
  <r>
    <s v="Rural+Urban"/>
    <x v="3"/>
    <x v="0"/>
    <n v="150.19999999999999"/>
  </r>
  <r>
    <s v="Rural+Urban"/>
    <x v="3"/>
    <x v="1"/>
    <n v="149.1"/>
  </r>
  <r>
    <s v="Rural+Urban"/>
    <x v="3"/>
    <x v="2"/>
    <n v="148.6"/>
  </r>
  <r>
    <s v="Rural+Urban"/>
    <x v="3"/>
    <x v="3"/>
    <n v="139.6"/>
  </r>
  <r>
    <s v="Rural+Urban"/>
    <x v="3"/>
    <x v="5"/>
    <n v="151.80000000000001"/>
  </r>
  <r>
    <s v="Rural+Urban"/>
    <x v="3"/>
    <x v="6"/>
    <n v="151.80000000000001"/>
  </r>
  <r>
    <s v="Rural+Urban"/>
    <x v="3"/>
    <x v="7"/>
    <n v="153.9"/>
  </r>
  <r>
    <s v="Rural+Urban"/>
    <x v="3"/>
    <x v="8"/>
    <n v="154.69999999999999"/>
  </r>
  <r>
    <s v="Rural+Urban"/>
    <x v="3"/>
    <x v="9"/>
    <n v="156.4"/>
  </r>
  <r>
    <s v="Rural+Urban"/>
    <x v="3"/>
    <x v="10"/>
    <n v="158.4"/>
  </r>
  <r>
    <s v="Rural+Urban"/>
    <x v="3"/>
    <x v="11"/>
    <n v="158.9"/>
  </r>
  <r>
    <s v="Rural+Urban"/>
    <x v="4"/>
    <x v="0"/>
    <n v="157.30000000000001"/>
  </r>
  <r>
    <s v="Rural+Urban"/>
    <x v="4"/>
    <x v="1"/>
    <n v="156.6"/>
  </r>
  <r>
    <s v="Rural+Urban"/>
    <x v="4"/>
    <x v="2"/>
    <n v="156.80000000000001"/>
  </r>
  <r>
    <s v="Rural+Urban"/>
    <x v="4"/>
    <x v="3"/>
    <n v="157.80000000000001"/>
  </r>
  <r>
    <s v="Rural+Urban"/>
    <x v="4"/>
    <x v="4"/>
    <n v="160.4"/>
  </r>
  <r>
    <s v="Rural+Urban"/>
    <x v="4"/>
    <x v="5"/>
    <n v="161.30000000000001"/>
  </r>
  <r>
    <s v="Rural+Urban"/>
    <x v="4"/>
    <x v="6"/>
    <n v="162.5"/>
  </r>
  <r>
    <s v="Rural+Urban"/>
    <x v="4"/>
    <x v="7"/>
    <n v="163.19999999999999"/>
  </r>
  <r>
    <s v="Rural+Urban"/>
    <x v="4"/>
    <x v="8"/>
    <n v="163.19999999999999"/>
  </r>
  <r>
    <s v="Rural+Urban"/>
    <x v="4"/>
    <x v="9"/>
    <n v="165.5"/>
  </r>
  <r>
    <s v="Rural+Urban"/>
    <x v="4"/>
    <x v="10"/>
    <n v="166.7"/>
  </r>
  <r>
    <s v="Rural+Urban"/>
    <x v="4"/>
    <x v="11"/>
    <n v="166.2"/>
  </r>
  <r>
    <s v="Rural+Urban"/>
    <x v="5"/>
    <x v="0"/>
    <n v="165.7"/>
  </r>
  <r>
    <s v="Rural+Urban"/>
    <x v="5"/>
    <x v="1"/>
    <n v="166.1"/>
  </r>
  <r>
    <s v="Rural+Urban"/>
    <x v="5"/>
    <x v="2"/>
    <n v="167.7"/>
  </r>
  <r>
    <s v="Rural+Urban"/>
    <x v="5"/>
    <x v="3"/>
    <n v="170.1"/>
  </r>
  <r>
    <s v="Rural+Urban"/>
    <x v="5"/>
    <x v="4"/>
    <n v="171.7"/>
  </r>
  <r>
    <s v="Rural+Urban"/>
    <x v="5"/>
    <x v="5"/>
    <n v="172.6"/>
  </r>
  <r>
    <s v="Rural+Urban"/>
    <x v="5"/>
    <x v="6"/>
    <n v="173.4"/>
  </r>
  <r>
    <s v="Rural+Urban"/>
    <x v="5"/>
    <x v="7"/>
    <n v="174.3"/>
  </r>
  <r>
    <s v="Rural+Urban"/>
    <x v="5"/>
    <x v="8"/>
    <n v="175.3"/>
  </r>
  <r>
    <s v="Rural+Urban"/>
    <x v="5"/>
    <x v="9"/>
    <n v="176.7"/>
  </r>
  <r>
    <s v="Rural+Urban"/>
    <x v="5"/>
    <x v="10"/>
    <n v="176.5"/>
  </r>
  <r>
    <s v="Rural+Urban"/>
    <x v="5"/>
    <x v="11"/>
    <n v="175.7"/>
  </r>
  <r>
    <s v="Rural+Urban"/>
    <x v="6"/>
    <x v="0"/>
    <n v="176.5"/>
  </r>
  <r>
    <s v="Rural+Urban"/>
    <x v="6"/>
    <x v="1"/>
    <n v="177.2"/>
  </r>
  <r>
    <s v="Rural+Urban"/>
    <x v="6"/>
    <x v="2"/>
    <n v="177.2"/>
  </r>
  <r>
    <s v="Rural+Urban"/>
    <x v="6"/>
    <x v="3"/>
    <n v="178.1"/>
  </r>
  <r>
    <s v="Rural+Urban"/>
    <x v="6"/>
    <x v="4"/>
    <n v="179.1"/>
  </r>
  <r>
    <m/>
    <x v="7"/>
    <x v="12"/>
    <m/>
  </r>
  <r>
    <m/>
    <x v="7"/>
    <x v="12"/>
    <m/>
  </r>
  <r>
    <m/>
    <x v="7"/>
    <x v="12"/>
    <m/>
  </r>
  <r>
    <m/>
    <x v="7"/>
    <x v="12"/>
    <m/>
  </r>
  <r>
    <m/>
    <x v="7"/>
    <x v="1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s v="Rural"/>
    <x v="0"/>
    <x v="0"/>
    <n v="2226.8000000000002"/>
  </r>
  <r>
    <s v="Urban"/>
    <x v="0"/>
    <x v="0"/>
    <n v="2262.1999999999998"/>
  </r>
  <r>
    <s v="Rural+Urban"/>
    <x v="0"/>
    <x v="0"/>
    <n v="2238.9"/>
  </r>
  <r>
    <s v="Rural"/>
    <x v="0"/>
    <x v="1"/>
    <n v="2248.3000000000002"/>
  </r>
  <r>
    <s v="Urban"/>
    <x v="0"/>
    <x v="1"/>
    <n v="2287.5"/>
  </r>
  <r>
    <s v="Rural+Urban"/>
    <x v="0"/>
    <x v="1"/>
    <n v="2261.9"/>
  </r>
  <r>
    <s v="Rural"/>
    <x v="0"/>
    <x v="2"/>
    <n v="2252.5"/>
  </r>
  <r>
    <s v="Urban"/>
    <x v="0"/>
    <x v="2"/>
    <n v="2291.6"/>
  </r>
  <r>
    <s v="Rural+Urban"/>
    <x v="0"/>
    <x v="2"/>
    <n v="2266.3000000000002"/>
  </r>
  <r>
    <s v="Rural"/>
    <x v="0"/>
    <x v="3"/>
    <n v="2255.7999999999997"/>
  </r>
  <r>
    <s v="Urban"/>
    <x v="0"/>
    <x v="3"/>
    <n v="2293.7000000000003"/>
  </r>
  <r>
    <s v="Rural+Urban"/>
    <x v="0"/>
    <x v="3"/>
    <n v="2269.2000000000003"/>
  </r>
  <r>
    <s v="Rural"/>
    <x v="0"/>
    <x v="4"/>
    <n v="2267.7999999999997"/>
  </r>
  <r>
    <s v="Urban"/>
    <x v="0"/>
    <x v="4"/>
    <n v="2306.4"/>
  </r>
  <r>
    <s v="Rural+Urban"/>
    <x v="0"/>
    <x v="4"/>
    <n v="2280.8999999999996"/>
  </r>
  <r>
    <s v="Rural"/>
    <x v="0"/>
    <x v="5"/>
    <n v="2284.4999999999995"/>
  </r>
  <r>
    <s v="Urban"/>
    <x v="0"/>
    <x v="5"/>
    <n v="2322.3000000000002"/>
  </r>
  <r>
    <s v="Rural+Urban"/>
    <x v="0"/>
    <x v="5"/>
    <n v="2297.3000000000002"/>
  </r>
  <r>
    <s v="Rural"/>
    <x v="0"/>
    <x v="6"/>
    <n v="2287.7000000000003"/>
  </r>
  <r>
    <s v="Urban"/>
    <x v="0"/>
    <x v="6"/>
    <n v="2314.4"/>
  </r>
  <r>
    <s v="Rural+Urban"/>
    <x v="0"/>
    <x v="6"/>
    <n v="2296.8000000000002"/>
  </r>
  <r>
    <s v="Rural"/>
    <x v="0"/>
    <x v="7"/>
    <n v="2277.1000000000004"/>
  </r>
  <r>
    <s v="Urban"/>
    <x v="0"/>
    <x v="7"/>
    <n v="2295.7999999999997"/>
  </r>
  <r>
    <s v="Rural+Urban"/>
    <x v="0"/>
    <x v="7"/>
    <n v="2283.4"/>
  </r>
  <r>
    <s v="Rural"/>
    <x v="1"/>
    <x v="8"/>
    <n v="2283.2000000000003"/>
  </r>
  <r>
    <s v="Urban"/>
    <x v="1"/>
    <x v="8"/>
    <n v="2310.1999999999998"/>
  </r>
  <r>
    <s v="Rural+Urban"/>
    <x v="1"/>
    <x v="8"/>
    <n v="2292.7000000000003"/>
  </r>
  <r>
    <s v="Rural"/>
    <x v="1"/>
    <x v="9"/>
    <n v="2265.7000000000003"/>
  </r>
  <r>
    <s v="Urban"/>
    <x v="1"/>
    <x v="9"/>
    <n v="2303.1999999999998"/>
  </r>
  <r>
    <s v="Rural+Urban"/>
    <x v="1"/>
    <x v="9"/>
    <n v="2279.1000000000004"/>
  </r>
  <r>
    <s v="Rural"/>
    <x v="1"/>
    <x v="10"/>
    <n v="2265.8000000000002"/>
  </r>
  <r>
    <s v="Urban"/>
    <x v="1"/>
    <x v="10"/>
    <n v="2303.4"/>
  </r>
  <r>
    <s v="Rural+Urban"/>
    <x v="1"/>
    <x v="10"/>
    <n v="2279.1999999999998"/>
  </r>
  <r>
    <s v="Rural"/>
    <x v="1"/>
    <x v="11"/>
    <n v="2274.1999999999998"/>
  </r>
  <r>
    <s v="Urban"/>
    <x v="1"/>
    <x v="11"/>
    <n v="2317.6999999999998"/>
  </r>
  <r>
    <s v="Rural+Urban"/>
    <x v="1"/>
    <x v="11"/>
    <n v="2289.6000000000004"/>
  </r>
  <r>
    <s v="Rural"/>
    <x v="1"/>
    <x v="0"/>
    <n v="2290.7000000000003"/>
  </r>
  <r>
    <s v="Urban"/>
    <x v="1"/>
    <x v="0"/>
    <n v="2335.1000000000004"/>
  </r>
  <r>
    <s v="Rural+Urban"/>
    <x v="1"/>
    <x v="0"/>
    <n v="2306.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553.20000000000005"/>
    <n v="501.55510000000004"/>
    <n v="529.1"/>
  </r>
  <r>
    <x v="1"/>
    <n v="177.1"/>
    <n v="180.3"/>
    <n v="174.8"/>
  </r>
  <r>
    <x v="2"/>
    <n v="2136.9"/>
    <n v="2304.9"/>
    <n v="2293.0000000000005"/>
  </r>
  <r>
    <x v="3"/>
    <n v="185.7"/>
    <n v="187.8"/>
    <n v="182.2"/>
  </r>
  <r>
    <x v="4"/>
    <n v="350.79999999999995"/>
    <n v="169.7"/>
    <n v="160.4"/>
  </r>
  <r>
    <x v="5"/>
    <n v="356.4"/>
    <n v="380.20000000000005"/>
    <n v="379"/>
  </r>
  <r>
    <x v="6"/>
    <n v="201"/>
    <n v="199.9"/>
    <n v="204.2"/>
  </r>
  <r>
    <x v="7"/>
    <n v="347.6"/>
    <n v="546.5"/>
    <n v="537"/>
  </r>
  <r>
    <x v="8"/>
    <n v="175.7"/>
    <n v="179.5"/>
    <n v="171.6"/>
  </r>
  <r>
    <x v="9"/>
    <n v="179.1"/>
    <n v="179.8"/>
    <n v="178.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x v="0"/>
  </r>
  <r>
    <x v="0"/>
    <x v="1"/>
    <x v="1"/>
  </r>
  <r>
    <x v="0"/>
    <x v="2"/>
    <x v="2"/>
  </r>
  <r>
    <x v="0"/>
    <x v="3"/>
    <x v="3"/>
  </r>
  <r>
    <x v="0"/>
    <x v="4"/>
    <x v="4"/>
  </r>
  <r>
    <x v="0"/>
    <x v="5"/>
    <x v="5"/>
  </r>
  <r>
    <x v="0"/>
    <x v="6"/>
    <x v="6"/>
  </r>
  <r>
    <x v="0"/>
    <x v="7"/>
    <x v="7"/>
  </r>
  <r>
    <x v="0"/>
    <x v="8"/>
    <x v="8"/>
  </r>
  <r>
    <x v="0"/>
    <x v="9"/>
    <x v="9"/>
  </r>
  <r>
    <x v="0"/>
    <x v="10"/>
    <x v="10"/>
  </r>
  <r>
    <x v="0"/>
    <x v="11"/>
    <x v="11"/>
  </r>
  <r>
    <x v="1"/>
    <x v="0"/>
    <x v="12"/>
  </r>
  <r>
    <x v="1"/>
    <x v="1"/>
    <x v="13"/>
  </r>
  <r>
    <x v="1"/>
    <x v="2"/>
    <x v="14"/>
  </r>
  <r>
    <x v="1"/>
    <x v="3"/>
    <x v="15"/>
  </r>
  <r>
    <x v="1"/>
    <x v="4"/>
    <x v="16"/>
  </r>
  <r>
    <x v="1"/>
    <x v="5"/>
    <x v="17"/>
  </r>
  <r>
    <x v="1"/>
    <x v="6"/>
    <x v="18"/>
  </r>
  <r>
    <x v="1"/>
    <x v="7"/>
    <x v="19"/>
  </r>
  <r>
    <x v="1"/>
    <x v="8"/>
    <x v="20"/>
  </r>
  <r>
    <x v="1"/>
    <x v="9"/>
    <x v="21"/>
  </r>
  <r>
    <x v="1"/>
    <x v="10"/>
    <x v="22"/>
  </r>
  <r>
    <x v="1"/>
    <x v="11"/>
    <x v="23"/>
  </r>
  <r>
    <x v="2"/>
    <x v="0"/>
    <x v="24"/>
  </r>
  <r>
    <x v="2"/>
    <x v="1"/>
    <x v="25"/>
  </r>
  <r>
    <x v="2"/>
    <x v="2"/>
    <x v="26"/>
  </r>
  <r>
    <x v="2"/>
    <x v="3"/>
    <x v="27"/>
  </r>
  <r>
    <x v="2"/>
    <x v="4"/>
    <x v="28"/>
  </r>
  <r>
    <x v="2"/>
    <x v="5"/>
    <x v="29"/>
  </r>
  <r>
    <x v="2"/>
    <x v="6"/>
    <x v="30"/>
  </r>
  <r>
    <x v="2"/>
    <x v="7"/>
    <x v="31"/>
  </r>
  <r>
    <x v="2"/>
    <x v="8"/>
    <x v="32"/>
  </r>
  <r>
    <x v="2"/>
    <x v="9"/>
    <x v="33"/>
  </r>
  <r>
    <x v="2"/>
    <x v="10"/>
    <x v="34"/>
  </r>
  <r>
    <x v="2"/>
    <x v="11"/>
    <x v="35"/>
  </r>
  <r>
    <x v="3"/>
    <x v="0"/>
    <x v="36"/>
  </r>
  <r>
    <x v="3"/>
    <x v="1"/>
    <x v="37"/>
  </r>
  <r>
    <x v="3"/>
    <x v="2"/>
    <x v="38"/>
  </r>
  <r>
    <x v="3"/>
    <x v="3"/>
    <x v="39"/>
  </r>
  <r>
    <x v="3"/>
    <x v="4"/>
    <x v="40"/>
  </r>
  <r>
    <x v="3"/>
    <x v="5"/>
    <x v="41"/>
  </r>
  <r>
    <x v="3"/>
    <x v="6"/>
    <x v="42"/>
  </r>
  <r>
    <x v="3"/>
    <x v="7"/>
    <x v="43"/>
  </r>
  <r>
    <x v="3"/>
    <x v="8"/>
    <x v="43"/>
  </r>
  <r>
    <x v="3"/>
    <x v="9"/>
    <x v="44"/>
  </r>
  <r>
    <x v="3"/>
    <x v="10"/>
    <x v="43"/>
  </r>
  <r>
    <x v="3"/>
    <x v="11"/>
    <x v="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A0967A-3D65-4FC6-B944-4A0A87528399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Categories">
  <location ref="J4:L15" firstHeaderRow="0" firstDataRow="1" firstDataCol="1"/>
  <pivotFields count="4">
    <pivotField axis="axisRow" showAll="0">
      <items count="11">
        <item x="0"/>
        <item x="1"/>
        <item x="2"/>
        <item x="9"/>
        <item x="3"/>
        <item x="4"/>
        <item x="5"/>
        <item x="8"/>
        <item x="6"/>
        <item x="7"/>
        <item t="default"/>
      </items>
    </pivotField>
    <pivotField showAll="0"/>
    <pivotField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rban " fld="3" baseField="0" baseItem="0"/>
    <dataField name="Contribution in Percentage " fld="3" showDataAs="percentOfTotal" baseField="0" baseItem="0" numFmtId="10"/>
  </dataFields>
  <chartFormats count="2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1"/>
          </reference>
          <reference field="0" count="1" selected="0">
            <x v="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1"/>
          </reference>
          <reference field="0" count="1" selected="0">
            <x v="8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1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FD6ECF-0940-426A-BEB1-4CB91DD43A04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8" rowHeaderCaption="Categories">
  <location ref="F4:H15" firstHeaderRow="0" firstDataRow="1" firstDataCol="1"/>
  <pivotFields count="4">
    <pivotField axis="axisRow" showAll="0">
      <items count="11">
        <item x="0"/>
        <item x="1"/>
        <item x="2"/>
        <item x="9"/>
        <item x="3"/>
        <item x="4"/>
        <item x="5"/>
        <item x="8"/>
        <item x="6"/>
        <item x="7"/>
        <item t="default"/>
      </items>
    </pivotField>
    <pivotField showAll="0"/>
    <pivotField dataField="1"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ural " fld="2" baseField="0" baseItem="0"/>
    <dataField name="Contribution in Percentage " fld="2" showDataAs="percentOfTotal" baseField="0" baseItem="0" numFmtId="10"/>
  </dataFields>
  <chartFormats count="2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1"/>
          </reference>
          <reference field="0" count="1" selected="0">
            <x v="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1"/>
          </reference>
          <reference field="0" count="1" selected="0">
            <x v="8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1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0772FC-627A-43D9-BC21-9A7D5CC481F1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Categories">
  <location ref="N4:P15" firstHeaderRow="0" firstDataRow="1" firstDataCol="1"/>
  <pivotFields count="4">
    <pivotField axis="axisRow" showAll="0">
      <items count="11">
        <item x="0"/>
        <item x="1"/>
        <item x="2"/>
        <item x="9"/>
        <item x="3"/>
        <item x="4"/>
        <item x="5"/>
        <item x="8"/>
        <item x="6"/>
        <item x="7"/>
        <item t="default"/>
      </items>
    </pivotField>
    <pivotField dataField="1"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ural+Urban" fld="1" baseField="0" baseItem="0"/>
    <dataField name="Contribution in Percentage" fld="1" showDataAs="percentOfTotal" baseField="0" baseItem="0" numFmtId="10"/>
  </dataFields>
  <chartFormats count="2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1"/>
          </reference>
          <reference field="0" count="1" selected="0">
            <x v="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1"/>
          </reference>
          <reference field="0" count="1" selected="0">
            <x v="8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1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B23FA-30A5-4AB7-8551-6CED82A4232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G5:J19" firstHeaderRow="0" firstDataRow="1" firstDataCol="2"/>
  <pivotFields count="4">
    <pivotField compact="0" outline="0" showAll="0" defaultSubtotal="0"/>
    <pivotField axis="axisRow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Row" compact="0" outline="0" showAll="0" defaultSubtotal="0">
      <items count="13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1"/>
        <item h="1" x="12"/>
      </items>
    </pivotField>
    <pivotField dataField="1" compact="0" outline="0" showAll="0" defaultSubtotal="0"/>
  </pivotFields>
  <rowFields count="2">
    <field x="1"/>
    <field x="2"/>
  </rowFields>
  <rowItems count="14">
    <i>
      <x/>
      <x/>
    </i>
    <i r="1">
      <x v="11"/>
    </i>
    <i>
      <x v="1"/>
      <x/>
    </i>
    <i r="1">
      <x v="11"/>
    </i>
    <i>
      <x v="2"/>
      <x/>
    </i>
    <i r="1">
      <x v="11"/>
    </i>
    <i>
      <x v="3"/>
      <x/>
    </i>
    <i r="1">
      <x v="11"/>
    </i>
    <i>
      <x v="4"/>
      <x/>
    </i>
    <i r="1">
      <x v="11"/>
    </i>
    <i>
      <x v="5"/>
      <x/>
    </i>
    <i r="1">
      <x v="11"/>
    </i>
    <i>
      <x v="6"/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CPI" fld="3" baseField="2" baseItem="0"/>
    <dataField name="Change in Inflation " fld="3" showDataAs="percentDiff" baseField="2" baseItem="0" numFmtId="10"/>
  </dataFields>
  <formats count="2">
    <format dxfId="1">
      <pivotArea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1"/>
          </reference>
        </references>
      </pivotArea>
    </format>
    <format dxfId="0">
      <pivotArea outline="0" fieldPosition="0">
        <references count="3">
          <reference field="4294967294" count="1" selected="0">
            <x v="1"/>
          </reference>
          <reference field="1" count="6" selected="0">
            <x v="1"/>
            <x v="2"/>
            <x v="3"/>
            <x v="4"/>
            <x v="5"/>
            <x v="6"/>
          </reference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A88CB2-7480-4630-80B2-3A153B0D0E24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G2:H16" firstHeaderRow="1" firstDataRow="1" firstDataCol="2"/>
  <pivotFields count="4"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12">
        <item x="8"/>
        <item x="9"/>
        <item x="10"/>
        <item x="11"/>
        <item x="0"/>
        <item x="1"/>
        <item x="2"/>
        <item x="3"/>
        <item x="4"/>
        <item x="5"/>
        <item x="6"/>
        <item x="7"/>
      </items>
    </pivotField>
    <pivotField compact="0" outline="0" showAll="0" defaultSubtotal="0"/>
  </pivotFields>
  <rowFields count="2">
    <field x="1"/>
    <field x="2"/>
  </rowFields>
  <rowItems count="14">
    <i>
      <x/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E9DB5F-C2E8-4567-9897-42F20A53C24F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2">
  <location ref="E5:G54" firstHeaderRow="1" firstDataRow="1" firstDataCol="2"/>
  <pivotFields count="3">
    <pivotField axis="axisRow" compact="0" outline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compact="0" numFmtId="164" outline="0" showAll="0" defaultSubtotal="0"/>
  </pivotFields>
  <rowFields count="2">
    <field x="0"/>
    <field x="1"/>
  </rowFields>
  <rowItems count="4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 Total CPI in Percentage" fld="2" showDataAs="percentDiff" baseField="1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FFB52-E4B3-4645-9135-0D09E7DA563C}">
  <dimension ref="A1:AD376"/>
  <sheetViews>
    <sheetView zoomScale="84" zoomScaleNormal="115" workbookViewId="0"/>
  </sheetViews>
  <sheetFormatPr defaultRowHeight="14.5" x14ac:dyDescent="0.35"/>
  <cols>
    <col min="1" max="1" width="14.81640625" customWidth="1"/>
    <col min="3" max="3" width="10.1796875" bestFit="1" customWidth="1"/>
    <col min="4" max="4" width="18.6328125" bestFit="1" customWidth="1"/>
    <col min="5" max="5" width="12.36328125" bestFit="1" customWidth="1"/>
    <col min="6" max="6" width="11.26953125" bestFit="1" customWidth="1"/>
    <col min="7" max="7" width="16" bestFit="1" customWidth="1"/>
    <col min="8" max="9" width="11.26953125" bestFit="1" customWidth="1"/>
    <col min="10" max="10" width="17.7265625" bestFit="1" customWidth="1"/>
    <col min="11" max="11" width="21.54296875" bestFit="1" customWidth="1"/>
    <col min="12" max="12" width="9.90625" customWidth="1"/>
    <col min="13" max="13" width="21.453125" bestFit="1" customWidth="1"/>
    <col min="14" max="14" width="30.81640625" bestFit="1" customWidth="1"/>
    <col min="15" max="15" width="21.7265625" customWidth="1"/>
    <col min="16" max="16" width="17.90625" customWidth="1"/>
    <col min="17" max="17" width="12.81640625" customWidth="1"/>
    <col min="18" max="18" width="16.26953125" customWidth="1"/>
    <col min="19" max="19" width="23.453125" customWidth="1"/>
    <col min="20" max="20" width="26.36328125" bestFit="1" customWidth="1"/>
    <col min="21" max="21" width="11.453125" customWidth="1"/>
    <col min="22" max="22" width="17.453125" customWidth="1"/>
    <col min="23" max="23" width="26.453125" bestFit="1" customWidth="1"/>
    <col min="24" max="24" width="26.36328125" customWidth="1"/>
    <col min="25" max="25" width="24.08984375" customWidth="1"/>
    <col min="26" max="26" width="10.6328125" customWidth="1"/>
    <col min="27" max="27" width="12.81640625" customWidth="1"/>
    <col min="28" max="28" width="24.81640625" bestFit="1" customWidth="1"/>
    <col min="29" max="29" width="12.7265625" bestFit="1" customWidth="1"/>
    <col min="30" max="30" width="12.453125" bestFit="1" customWidth="1"/>
  </cols>
  <sheetData>
    <row r="1" spans="1:3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7</v>
      </c>
      <c r="Q1" t="s">
        <v>17</v>
      </c>
      <c r="R1" t="s">
        <v>18</v>
      </c>
      <c r="S1" t="s">
        <v>19</v>
      </c>
      <c r="T1" t="s">
        <v>22</v>
      </c>
      <c r="U1" t="s">
        <v>20</v>
      </c>
      <c r="V1" t="s">
        <v>21</v>
      </c>
      <c r="W1" t="s">
        <v>24</v>
      </c>
      <c r="X1" t="s">
        <v>25</v>
      </c>
      <c r="Y1" t="s">
        <v>27</v>
      </c>
      <c r="Z1" t="s">
        <v>23</v>
      </c>
      <c r="AA1" t="s">
        <v>26</v>
      </c>
      <c r="AB1" t="s">
        <v>16</v>
      </c>
      <c r="AC1" t="s">
        <v>28</v>
      </c>
      <c r="AD1" t="s">
        <v>29</v>
      </c>
    </row>
    <row r="2" spans="1:30" x14ac:dyDescent="0.35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103.9</v>
      </c>
      <c r="I2">
        <v>101.9</v>
      </c>
      <c r="J2">
        <v>106.1</v>
      </c>
      <c r="K2">
        <v>106.8</v>
      </c>
      <c r="L2">
        <v>103.1</v>
      </c>
      <c r="M2">
        <v>104.8</v>
      </c>
      <c r="N2">
        <v>106.7</v>
      </c>
      <c r="O2">
        <v>105.5</v>
      </c>
      <c r="P2">
        <v>106.1</v>
      </c>
      <c r="Q2">
        <v>106.5</v>
      </c>
      <c r="R2">
        <v>105.8</v>
      </c>
      <c r="S2">
        <v>106.4</v>
      </c>
      <c r="T2">
        <v>104.8</v>
      </c>
      <c r="U2">
        <v>139.2551</v>
      </c>
      <c r="V2">
        <v>105.5</v>
      </c>
      <c r="W2">
        <v>103.3</v>
      </c>
      <c r="X2">
        <v>103.4</v>
      </c>
      <c r="Y2">
        <v>104.7</v>
      </c>
      <c r="Z2">
        <v>104</v>
      </c>
      <c r="AA2">
        <v>103.8</v>
      </c>
      <c r="AB2">
        <v>105.1</v>
      </c>
      <c r="AC2">
        <v>104</v>
      </c>
      <c r="AD2">
        <v>105.1</v>
      </c>
    </row>
    <row r="3" spans="1:30" x14ac:dyDescent="0.35">
      <c r="A3" t="s">
        <v>32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102.3</v>
      </c>
      <c r="I3">
        <v>102.9</v>
      </c>
      <c r="J3">
        <v>105.8</v>
      </c>
      <c r="K3">
        <v>105.1</v>
      </c>
      <c r="L3">
        <v>101.8</v>
      </c>
      <c r="M3">
        <v>105.1</v>
      </c>
      <c r="N3">
        <v>107.9</v>
      </c>
      <c r="O3">
        <v>105.9</v>
      </c>
      <c r="P3">
        <v>103.4</v>
      </c>
      <c r="Q3">
        <v>105.9</v>
      </c>
      <c r="R3">
        <v>105</v>
      </c>
      <c r="S3">
        <v>105.8</v>
      </c>
      <c r="T3">
        <v>104.8</v>
      </c>
      <c r="U3">
        <v>100.3</v>
      </c>
      <c r="V3">
        <v>105.4</v>
      </c>
      <c r="W3">
        <v>103.2</v>
      </c>
      <c r="X3">
        <v>102.9</v>
      </c>
      <c r="Y3">
        <v>104.3</v>
      </c>
      <c r="Z3">
        <v>104.1</v>
      </c>
      <c r="AA3">
        <v>103.5</v>
      </c>
      <c r="AB3">
        <v>105.2</v>
      </c>
      <c r="AC3">
        <v>103.7</v>
      </c>
      <c r="AD3">
        <v>104</v>
      </c>
    </row>
    <row r="4" spans="1:30" x14ac:dyDescent="0.35">
      <c r="A4" t="s">
        <v>33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103.2</v>
      </c>
      <c r="I4">
        <v>102.2</v>
      </c>
      <c r="J4">
        <v>106</v>
      </c>
      <c r="K4">
        <v>106.2</v>
      </c>
      <c r="L4">
        <v>102.7</v>
      </c>
      <c r="M4">
        <v>104.9</v>
      </c>
      <c r="N4">
        <v>107.3</v>
      </c>
      <c r="O4">
        <v>105.6</v>
      </c>
      <c r="P4">
        <v>105.1</v>
      </c>
      <c r="Q4">
        <v>106.3</v>
      </c>
      <c r="R4">
        <v>105.5</v>
      </c>
      <c r="S4">
        <v>106.2</v>
      </c>
      <c r="T4">
        <v>104.8</v>
      </c>
      <c r="U4">
        <v>100.3</v>
      </c>
      <c r="V4">
        <v>105.5</v>
      </c>
      <c r="W4">
        <v>103.2</v>
      </c>
      <c r="X4">
        <v>103.1</v>
      </c>
      <c r="Y4">
        <v>104.5</v>
      </c>
      <c r="Z4">
        <v>104</v>
      </c>
      <c r="AA4">
        <v>103.6</v>
      </c>
      <c r="AB4">
        <v>105.1</v>
      </c>
      <c r="AC4">
        <v>103.9</v>
      </c>
      <c r="AD4">
        <v>104.6</v>
      </c>
    </row>
    <row r="5" spans="1:30" x14ac:dyDescent="0.35">
      <c r="A5" t="s">
        <v>30</v>
      </c>
      <c r="B5">
        <v>2013</v>
      </c>
      <c r="C5" t="s">
        <v>34</v>
      </c>
      <c r="D5">
        <v>109.2</v>
      </c>
      <c r="E5">
        <v>108.7</v>
      </c>
      <c r="F5">
        <v>110.2</v>
      </c>
      <c r="G5">
        <v>105.4</v>
      </c>
      <c r="H5">
        <v>104</v>
      </c>
      <c r="I5">
        <v>102.4</v>
      </c>
      <c r="J5">
        <v>105.9</v>
      </c>
      <c r="K5">
        <v>105.7</v>
      </c>
      <c r="L5">
        <v>103.1</v>
      </c>
      <c r="M5">
        <v>105.1</v>
      </c>
      <c r="N5">
        <v>107.7</v>
      </c>
      <c r="O5">
        <v>106.3</v>
      </c>
      <c r="P5">
        <v>106.7</v>
      </c>
      <c r="Q5">
        <v>107.1</v>
      </c>
      <c r="R5">
        <v>106.3</v>
      </c>
      <c r="S5">
        <v>107</v>
      </c>
      <c r="T5">
        <v>105.2</v>
      </c>
      <c r="U5">
        <v>139.2551</v>
      </c>
      <c r="V5">
        <v>106.2</v>
      </c>
      <c r="W5">
        <v>103.9</v>
      </c>
      <c r="X5">
        <v>104</v>
      </c>
      <c r="Y5">
        <v>104.6</v>
      </c>
      <c r="Z5">
        <v>104.4</v>
      </c>
      <c r="AA5">
        <v>104.1</v>
      </c>
      <c r="AB5">
        <v>105.6</v>
      </c>
      <c r="AC5">
        <v>104.4</v>
      </c>
      <c r="AD5">
        <v>105.8</v>
      </c>
    </row>
    <row r="6" spans="1:30" x14ac:dyDescent="0.35">
      <c r="A6" t="s">
        <v>32</v>
      </c>
      <c r="B6">
        <v>2013</v>
      </c>
      <c r="C6" t="s">
        <v>34</v>
      </c>
      <c r="D6">
        <v>112.9</v>
      </c>
      <c r="E6">
        <v>112.9</v>
      </c>
      <c r="F6">
        <v>116.9</v>
      </c>
      <c r="G6">
        <v>104</v>
      </c>
      <c r="H6">
        <v>103.1</v>
      </c>
      <c r="I6">
        <v>104.9</v>
      </c>
      <c r="J6">
        <v>104.1</v>
      </c>
      <c r="K6">
        <v>103.8</v>
      </c>
      <c r="L6">
        <v>102.3</v>
      </c>
      <c r="M6">
        <v>106</v>
      </c>
      <c r="N6">
        <v>109</v>
      </c>
      <c r="O6">
        <v>107.2</v>
      </c>
      <c r="P6">
        <v>103.5</v>
      </c>
      <c r="Q6">
        <v>106.6</v>
      </c>
      <c r="R6">
        <v>105.5</v>
      </c>
      <c r="S6">
        <v>106.4</v>
      </c>
      <c r="T6">
        <v>105.2</v>
      </c>
      <c r="U6">
        <v>100.4</v>
      </c>
      <c r="V6">
        <v>105.7</v>
      </c>
      <c r="W6">
        <v>104.4</v>
      </c>
      <c r="X6">
        <v>103.3</v>
      </c>
      <c r="Y6">
        <v>104.3</v>
      </c>
      <c r="Z6">
        <v>104.7</v>
      </c>
      <c r="AA6">
        <v>103.7</v>
      </c>
      <c r="AB6">
        <v>106</v>
      </c>
      <c r="AC6">
        <v>104.3</v>
      </c>
      <c r="AD6">
        <v>104.7</v>
      </c>
    </row>
    <row r="7" spans="1:30" x14ac:dyDescent="0.35">
      <c r="A7" t="s">
        <v>33</v>
      </c>
      <c r="B7">
        <v>2013</v>
      </c>
      <c r="C7" t="s">
        <v>34</v>
      </c>
      <c r="D7">
        <v>110.4</v>
      </c>
      <c r="E7">
        <v>110.2</v>
      </c>
      <c r="F7">
        <v>112.8</v>
      </c>
      <c r="G7">
        <v>104.9</v>
      </c>
      <c r="H7">
        <v>103.6</v>
      </c>
      <c r="I7">
        <v>103.2</v>
      </c>
      <c r="J7">
        <v>105.3</v>
      </c>
      <c r="K7">
        <v>105.1</v>
      </c>
      <c r="L7">
        <v>102.8</v>
      </c>
      <c r="M7">
        <v>105.5</v>
      </c>
      <c r="N7">
        <v>108.3</v>
      </c>
      <c r="O7">
        <v>106.6</v>
      </c>
      <c r="P7">
        <v>105.5</v>
      </c>
      <c r="Q7">
        <v>106.9</v>
      </c>
      <c r="R7">
        <v>106</v>
      </c>
      <c r="S7">
        <v>106.8</v>
      </c>
      <c r="T7">
        <v>105.2</v>
      </c>
      <c r="U7">
        <v>100.4</v>
      </c>
      <c r="V7">
        <v>106</v>
      </c>
      <c r="W7">
        <v>104.2</v>
      </c>
      <c r="X7">
        <v>103.6</v>
      </c>
      <c r="Y7">
        <v>104.5</v>
      </c>
      <c r="Z7">
        <v>104.5</v>
      </c>
      <c r="AA7">
        <v>103.9</v>
      </c>
      <c r="AB7">
        <v>105.7</v>
      </c>
      <c r="AC7">
        <v>104.4</v>
      </c>
      <c r="AD7">
        <v>105.3</v>
      </c>
    </row>
    <row r="8" spans="1:30" x14ac:dyDescent="0.35">
      <c r="A8" t="s">
        <v>30</v>
      </c>
      <c r="B8">
        <v>2013</v>
      </c>
      <c r="C8" t="s">
        <v>35</v>
      </c>
      <c r="D8">
        <v>110.2</v>
      </c>
      <c r="E8">
        <v>108.8</v>
      </c>
      <c r="F8">
        <v>109.9</v>
      </c>
      <c r="G8">
        <v>105.6</v>
      </c>
      <c r="H8">
        <v>105.7</v>
      </c>
      <c r="I8">
        <v>101.4</v>
      </c>
      <c r="J8">
        <v>105.7</v>
      </c>
      <c r="K8">
        <v>105</v>
      </c>
      <c r="L8">
        <v>103.3</v>
      </c>
      <c r="M8">
        <v>105.6</v>
      </c>
      <c r="N8">
        <v>108.2</v>
      </c>
      <c r="O8">
        <v>106.6</v>
      </c>
      <c r="P8">
        <v>106.2</v>
      </c>
      <c r="Q8">
        <v>107.6</v>
      </c>
      <c r="R8">
        <v>106.8</v>
      </c>
      <c r="S8">
        <v>107.5</v>
      </c>
      <c r="T8">
        <v>105.6</v>
      </c>
      <c r="U8">
        <v>139.2551</v>
      </c>
      <c r="V8">
        <v>106.1</v>
      </c>
      <c r="W8">
        <v>104.6</v>
      </c>
      <c r="X8">
        <v>104</v>
      </c>
      <c r="Y8">
        <v>104.3</v>
      </c>
      <c r="Z8">
        <v>104.7</v>
      </c>
      <c r="AA8">
        <v>104.3</v>
      </c>
      <c r="AB8">
        <v>106.5</v>
      </c>
      <c r="AC8">
        <v>104.6</v>
      </c>
      <c r="AD8">
        <v>106</v>
      </c>
    </row>
    <row r="9" spans="1:30" x14ac:dyDescent="0.35">
      <c r="A9" t="s">
        <v>32</v>
      </c>
      <c r="B9">
        <v>2013</v>
      </c>
      <c r="C9" t="s">
        <v>35</v>
      </c>
      <c r="D9">
        <v>113.9</v>
      </c>
      <c r="E9">
        <v>111.4</v>
      </c>
      <c r="F9">
        <v>113.2</v>
      </c>
      <c r="G9">
        <v>104.3</v>
      </c>
      <c r="H9">
        <v>104.9</v>
      </c>
      <c r="I9">
        <v>103.8</v>
      </c>
      <c r="J9">
        <v>103.5</v>
      </c>
      <c r="K9">
        <v>102.6</v>
      </c>
      <c r="L9">
        <v>102.4</v>
      </c>
      <c r="M9">
        <v>107</v>
      </c>
      <c r="N9">
        <v>109.8</v>
      </c>
      <c r="O9">
        <v>107.3</v>
      </c>
      <c r="P9">
        <v>102.7</v>
      </c>
      <c r="Q9">
        <v>107.2</v>
      </c>
      <c r="R9">
        <v>106</v>
      </c>
      <c r="S9">
        <v>107</v>
      </c>
      <c r="T9">
        <v>105.7</v>
      </c>
      <c r="U9">
        <v>100.4</v>
      </c>
      <c r="V9">
        <v>106</v>
      </c>
      <c r="W9">
        <v>105.5</v>
      </c>
      <c r="X9">
        <v>103.5</v>
      </c>
      <c r="Y9">
        <v>104.2</v>
      </c>
      <c r="Z9">
        <v>105.2</v>
      </c>
      <c r="AA9">
        <v>103.8</v>
      </c>
      <c r="AB9">
        <v>106.8</v>
      </c>
      <c r="AC9">
        <v>104.9</v>
      </c>
      <c r="AD9">
        <v>105</v>
      </c>
    </row>
    <row r="10" spans="1:30" x14ac:dyDescent="0.35">
      <c r="A10" t="s">
        <v>33</v>
      </c>
      <c r="B10">
        <v>2013</v>
      </c>
      <c r="C10" t="s">
        <v>35</v>
      </c>
      <c r="D10">
        <v>111.4</v>
      </c>
      <c r="E10">
        <v>109.7</v>
      </c>
      <c r="F10">
        <v>111.2</v>
      </c>
      <c r="G10">
        <v>105.1</v>
      </c>
      <c r="H10">
        <v>105.3</v>
      </c>
      <c r="I10">
        <v>102.2</v>
      </c>
      <c r="J10">
        <v>105</v>
      </c>
      <c r="K10">
        <v>104.2</v>
      </c>
      <c r="L10">
        <v>103</v>
      </c>
      <c r="M10">
        <v>106.2</v>
      </c>
      <c r="N10">
        <v>108.9</v>
      </c>
      <c r="O10">
        <v>106.9</v>
      </c>
      <c r="P10">
        <v>104.9</v>
      </c>
      <c r="Q10">
        <v>107.4</v>
      </c>
      <c r="R10">
        <v>106.5</v>
      </c>
      <c r="S10">
        <v>107.3</v>
      </c>
      <c r="T10">
        <v>105.6</v>
      </c>
      <c r="U10">
        <v>100.4</v>
      </c>
      <c r="V10">
        <v>106.1</v>
      </c>
      <c r="W10">
        <v>105.1</v>
      </c>
      <c r="X10">
        <v>103.7</v>
      </c>
      <c r="Y10">
        <v>104.3</v>
      </c>
      <c r="Z10">
        <v>104.9</v>
      </c>
      <c r="AA10">
        <v>104</v>
      </c>
      <c r="AB10">
        <v>106.6</v>
      </c>
      <c r="AC10">
        <v>104.7</v>
      </c>
      <c r="AD10">
        <v>105.5</v>
      </c>
    </row>
    <row r="11" spans="1:30" x14ac:dyDescent="0.35">
      <c r="A11" t="s">
        <v>30</v>
      </c>
      <c r="B11">
        <v>2013</v>
      </c>
      <c r="C11" t="s">
        <v>36</v>
      </c>
      <c r="D11">
        <v>110.2</v>
      </c>
      <c r="E11">
        <v>109.5</v>
      </c>
      <c r="F11">
        <v>106.9</v>
      </c>
      <c r="G11">
        <v>106.3</v>
      </c>
      <c r="H11">
        <v>108.3</v>
      </c>
      <c r="I11">
        <v>103.4</v>
      </c>
      <c r="J11">
        <v>105.7</v>
      </c>
      <c r="K11">
        <v>104.2</v>
      </c>
      <c r="L11">
        <v>103.2</v>
      </c>
      <c r="M11">
        <v>106.5</v>
      </c>
      <c r="N11">
        <v>108.8</v>
      </c>
      <c r="O11">
        <v>107.1</v>
      </c>
      <c r="P11">
        <v>105.7</v>
      </c>
      <c r="Q11">
        <v>108.1</v>
      </c>
      <c r="R11">
        <v>107.4</v>
      </c>
      <c r="S11">
        <v>108</v>
      </c>
      <c r="T11">
        <v>106.1</v>
      </c>
      <c r="U11">
        <v>139.2551</v>
      </c>
      <c r="V11">
        <v>106.5</v>
      </c>
      <c r="W11">
        <v>104.4</v>
      </c>
      <c r="X11">
        <v>104.5</v>
      </c>
      <c r="Y11">
        <v>102.7</v>
      </c>
      <c r="Z11">
        <v>105.1</v>
      </c>
      <c r="AA11">
        <v>104.8</v>
      </c>
      <c r="AB11">
        <v>107.1</v>
      </c>
      <c r="AC11">
        <v>104.6</v>
      </c>
      <c r="AD11">
        <v>106.4</v>
      </c>
    </row>
    <row r="12" spans="1:30" x14ac:dyDescent="0.35">
      <c r="A12" t="s">
        <v>32</v>
      </c>
      <c r="B12">
        <v>2013</v>
      </c>
      <c r="C12" t="s">
        <v>36</v>
      </c>
      <c r="D12">
        <v>114.6</v>
      </c>
      <c r="E12">
        <v>113.4</v>
      </c>
      <c r="F12">
        <v>106</v>
      </c>
      <c r="G12">
        <v>104.7</v>
      </c>
      <c r="H12">
        <v>109.5</v>
      </c>
      <c r="I12">
        <v>109.7</v>
      </c>
      <c r="J12">
        <v>104.6</v>
      </c>
      <c r="K12">
        <v>102</v>
      </c>
      <c r="L12">
        <v>103.5</v>
      </c>
      <c r="M12">
        <v>108.2</v>
      </c>
      <c r="N12">
        <v>110.6</v>
      </c>
      <c r="O12">
        <v>108.8</v>
      </c>
      <c r="P12">
        <v>102.1</v>
      </c>
      <c r="Q12">
        <v>107.9</v>
      </c>
      <c r="R12">
        <v>106.4</v>
      </c>
      <c r="S12">
        <v>107.7</v>
      </c>
      <c r="T12">
        <v>106.5</v>
      </c>
      <c r="U12">
        <v>100.5</v>
      </c>
      <c r="V12">
        <v>106.4</v>
      </c>
      <c r="W12">
        <v>105</v>
      </c>
      <c r="X12">
        <v>104</v>
      </c>
      <c r="Y12">
        <v>103.2</v>
      </c>
      <c r="Z12">
        <v>105.7</v>
      </c>
      <c r="AA12">
        <v>105.2</v>
      </c>
      <c r="AB12">
        <v>108.5</v>
      </c>
      <c r="AC12">
        <v>105.1</v>
      </c>
      <c r="AD12">
        <v>105.7</v>
      </c>
    </row>
    <row r="13" spans="1:30" x14ac:dyDescent="0.35">
      <c r="A13" t="s">
        <v>33</v>
      </c>
      <c r="B13">
        <v>2013</v>
      </c>
      <c r="C13" t="s">
        <v>36</v>
      </c>
      <c r="D13">
        <v>111.6</v>
      </c>
      <c r="E13">
        <v>110.9</v>
      </c>
      <c r="F13">
        <v>106.6</v>
      </c>
      <c r="G13">
        <v>105.7</v>
      </c>
      <c r="H13">
        <v>108.9</v>
      </c>
      <c r="I13">
        <v>105.5</v>
      </c>
      <c r="J13">
        <v>105.3</v>
      </c>
      <c r="K13">
        <v>103.5</v>
      </c>
      <c r="L13">
        <v>103.3</v>
      </c>
      <c r="M13">
        <v>107.2</v>
      </c>
      <c r="N13">
        <v>109.6</v>
      </c>
      <c r="O13">
        <v>107.7</v>
      </c>
      <c r="P13">
        <v>104.4</v>
      </c>
      <c r="Q13">
        <v>108</v>
      </c>
      <c r="R13">
        <v>107</v>
      </c>
      <c r="S13">
        <v>107.9</v>
      </c>
      <c r="T13">
        <v>106.3</v>
      </c>
      <c r="U13">
        <v>100.5</v>
      </c>
      <c r="V13">
        <v>106.5</v>
      </c>
      <c r="W13">
        <v>104.7</v>
      </c>
      <c r="X13">
        <v>104.2</v>
      </c>
      <c r="Y13">
        <v>102.9</v>
      </c>
      <c r="Z13">
        <v>105.3</v>
      </c>
      <c r="AA13">
        <v>105</v>
      </c>
      <c r="AB13">
        <v>107.5</v>
      </c>
      <c r="AC13">
        <v>104.8</v>
      </c>
      <c r="AD13">
        <v>106.1</v>
      </c>
    </row>
    <row r="14" spans="1:30" x14ac:dyDescent="0.35">
      <c r="A14" t="s">
        <v>30</v>
      </c>
      <c r="B14">
        <v>2013</v>
      </c>
      <c r="C14" t="s">
        <v>37</v>
      </c>
      <c r="D14">
        <v>110.9</v>
      </c>
      <c r="E14">
        <v>109.8</v>
      </c>
      <c r="F14">
        <v>105.9</v>
      </c>
      <c r="G14">
        <v>107.5</v>
      </c>
      <c r="H14">
        <v>108.1</v>
      </c>
      <c r="I14">
        <v>107.3</v>
      </c>
      <c r="J14">
        <v>106.1</v>
      </c>
      <c r="K14">
        <v>103.7</v>
      </c>
      <c r="L14">
        <v>104</v>
      </c>
      <c r="M14">
        <v>107.4</v>
      </c>
      <c r="N14">
        <v>109.9</v>
      </c>
      <c r="O14">
        <v>108.1</v>
      </c>
      <c r="P14">
        <v>105.3</v>
      </c>
      <c r="Q14">
        <v>108.8</v>
      </c>
      <c r="R14">
        <v>107.9</v>
      </c>
      <c r="S14">
        <v>108.6</v>
      </c>
      <c r="T14">
        <v>106.8</v>
      </c>
      <c r="U14">
        <v>139.2551</v>
      </c>
      <c r="V14">
        <v>107.5</v>
      </c>
      <c r="W14">
        <v>104.1</v>
      </c>
      <c r="X14">
        <v>105</v>
      </c>
      <c r="Y14">
        <v>102.1</v>
      </c>
      <c r="Z14">
        <v>105.7</v>
      </c>
      <c r="AA14">
        <v>105.5</v>
      </c>
      <c r="AB14">
        <v>108.1</v>
      </c>
      <c r="AC14">
        <v>104.8</v>
      </c>
      <c r="AD14">
        <v>107.2</v>
      </c>
    </row>
    <row r="15" spans="1:30" x14ac:dyDescent="0.35">
      <c r="A15" t="s">
        <v>32</v>
      </c>
      <c r="B15">
        <v>2013</v>
      </c>
      <c r="C15" t="s">
        <v>37</v>
      </c>
      <c r="D15">
        <v>115.4</v>
      </c>
      <c r="E15">
        <v>114.2</v>
      </c>
      <c r="F15">
        <v>102.7</v>
      </c>
      <c r="G15">
        <v>105.5</v>
      </c>
      <c r="H15">
        <v>110.6</v>
      </c>
      <c r="I15">
        <v>123.7</v>
      </c>
      <c r="J15">
        <v>105.2</v>
      </c>
      <c r="K15">
        <v>101.9</v>
      </c>
      <c r="L15">
        <v>105</v>
      </c>
      <c r="M15">
        <v>109.1</v>
      </c>
      <c r="N15">
        <v>111.3</v>
      </c>
      <c r="O15">
        <v>111.1</v>
      </c>
      <c r="P15">
        <v>101.5</v>
      </c>
      <c r="Q15">
        <v>108.5</v>
      </c>
      <c r="R15">
        <v>106.7</v>
      </c>
      <c r="S15">
        <v>108.3</v>
      </c>
      <c r="T15">
        <v>107.1</v>
      </c>
      <c r="U15">
        <v>100.5</v>
      </c>
      <c r="V15">
        <v>107.2</v>
      </c>
      <c r="W15">
        <v>103.9</v>
      </c>
      <c r="X15">
        <v>104.6</v>
      </c>
      <c r="Y15">
        <v>102.6</v>
      </c>
      <c r="Z15">
        <v>106.2</v>
      </c>
      <c r="AA15">
        <v>105.7</v>
      </c>
      <c r="AB15">
        <v>109.8</v>
      </c>
      <c r="AC15">
        <v>104.9</v>
      </c>
      <c r="AD15">
        <v>106.6</v>
      </c>
    </row>
    <row r="16" spans="1:30" x14ac:dyDescent="0.35">
      <c r="A16" t="s">
        <v>33</v>
      </c>
      <c r="B16">
        <v>2013</v>
      </c>
      <c r="C16" t="s">
        <v>37</v>
      </c>
      <c r="D16">
        <v>112.3</v>
      </c>
      <c r="E16">
        <v>111.3</v>
      </c>
      <c r="F16">
        <v>104.7</v>
      </c>
      <c r="G16">
        <v>106.8</v>
      </c>
      <c r="H16">
        <v>109.3</v>
      </c>
      <c r="I16">
        <v>112.9</v>
      </c>
      <c r="J16">
        <v>105.8</v>
      </c>
      <c r="K16">
        <v>103.1</v>
      </c>
      <c r="L16">
        <v>104.3</v>
      </c>
      <c r="M16">
        <v>108.1</v>
      </c>
      <c r="N16">
        <v>110.5</v>
      </c>
      <c r="O16">
        <v>109.2</v>
      </c>
      <c r="P16">
        <v>103.9</v>
      </c>
      <c r="Q16">
        <v>108.7</v>
      </c>
      <c r="R16">
        <v>107.4</v>
      </c>
      <c r="S16">
        <v>108.5</v>
      </c>
      <c r="T16">
        <v>106.9</v>
      </c>
      <c r="U16">
        <v>100.5</v>
      </c>
      <c r="V16">
        <v>107.4</v>
      </c>
      <c r="W16">
        <v>104</v>
      </c>
      <c r="X16">
        <v>104.8</v>
      </c>
      <c r="Y16">
        <v>102.3</v>
      </c>
      <c r="Z16">
        <v>105.9</v>
      </c>
      <c r="AA16">
        <v>105.6</v>
      </c>
      <c r="AB16">
        <v>108.6</v>
      </c>
      <c r="AC16">
        <v>104.8</v>
      </c>
      <c r="AD16">
        <v>106.9</v>
      </c>
    </row>
    <row r="17" spans="1:30" x14ac:dyDescent="0.35">
      <c r="A17" t="s">
        <v>30</v>
      </c>
      <c r="B17">
        <v>2013</v>
      </c>
      <c r="C17" t="s">
        <v>38</v>
      </c>
      <c r="D17">
        <v>112.3</v>
      </c>
      <c r="E17">
        <v>112.1</v>
      </c>
      <c r="F17">
        <v>108.1</v>
      </c>
      <c r="G17">
        <v>108.3</v>
      </c>
      <c r="H17">
        <v>109.2</v>
      </c>
      <c r="I17">
        <v>118</v>
      </c>
      <c r="J17">
        <v>106.8</v>
      </c>
      <c r="K17">
        <v>104.1</v>
      </c>
      <c r="L17">
        <v>105.4</v>
      </c>
      <c r="M17">
        <v>108.2</v>
      </c>
      <c r="N17">
        <v>111</v>
      </c>
      <c r="O17">
        <v>110.6</v>
      </c>
      <c r="P17">
        <v>105.9</v>
      </c>
      <c r="Q17">
        <v>109.7</v>
      </c>
      <c r="R17">
        <v>108.8</v>
      </c>
      <c r="S17">
        <v>109.5</v>
      </c>
      <c r="T17">
        <v>107.5</v>
      </c>
      <c r="U17">
        <v>139.2551</v>
      </c>
      <c r="V17">
        <v>108.5</v>
      </c>
      <c r="W17">
        <v>105</v>
      </c>
      <c r="X17">
        <v>105.6</v>
      </c>
      <c r="Y17">
        <v>102.5</v>
      </c>
      <c r="Z17">
        <v>106.3</v>
      </c>
      <c r="AA17">
        <v>106.5</v>
      </c>
      <c r="AB17">
        <v>109</v>
      </c>
      <c r="AC17">
        <v>105.5</v>
      </c>
      <c r="AD17">
        <v>108.9</v>
      </c>
    </row>
    <row r="18" spans="1:30" x14ac:dyDescent="0.35">
      <c r="A18" t="s">
        <v>32</v>
      </c>
      <c r="B18">
        <v>2013</v>
      </c>
      <c r="C18" t="s">
        <v>38</v>
      </c>
      <c r="D18">
        <v>117</v>
      </c>
      <c r="E18">
        <v>120.1</v>
      </c>
      <c r="F18">
        <v>112.5</v>
      </c>
      <c r="G18">
        <v>107.3</v>
      </c>
      <c r="H18">
        <v>112.4</v>
      </c>
      <c r="I18">
        <v>143.6</v>
      </c>
      <c r="J18">
        <v>105.4</v>
      </c>
      <c r="K18">
        <v>101.4</v>
      </c>
      <c r="L18">
        <v>106.4</v>
      </c>
      <c r="M18">
        <v>110</v>
      </c>
      <c r="N18">
        <v>112.2</v>
      </c>
      <c r="O18">
        <v>115</v>
      </c>
      <c r="P18">
        <v>101.3</v>
      </c>
      <c r="Q18">
        <v>109.2</v>
      </c>
      <c r="R18">
        <v>107.2</v>
      </c>
      <c r="S18">
        <v>108.9</v>
      </c>
      <c r="T18">
        <v>107.7</v>
      </c>
      <c r="U18">
        <v>106.6</v>
      </c>
      <c r="V18">
        <v>108</v>
      </c>
      <c r="W18">
        <v>105.2</v>
      </c>
      <c r="X18">
        <v>105.2</v>
      </c>
      <c r="Y18">
        <v>103.3</v>
      </c>
      <c r="Z18">
        <v>106.5</v>
      </c>
      <c r="AA18">
        <v>108.1</v>
      </c>
      <c r="AB18">
        <v>110.9</v>
      </c>
      <c r="AC18">
        <v>106.1</v>
      </c>
      <c r="AD18">
        <v>109.7</v>
      </c>
    </row>
    <row r="19" spans="1:30" x14ac:dyDescent="0.35">
      <c r="A19" t="s">
        <v>33</v>
      </c>
      <c r="B19">
        <v>2013</v>
      </c>
      <c r="C19" t="s">
        <v>38</v>
      </c>
      <c r="D19">
        <v>113.8</v>
      </c>
      <c r="E19">
        <v>114.9</v>
      </c>
      <c r="F19">
        <v>109.8</v>
      </c>
      <c r="G19">
        <v>107.9</v>
      </c>
      <c r="H19">
        <v>110.7</v>
      </c>
      <c r="I19">
        <v>126.7</v>
      </c>
      <c r="J19">
        <v>106.3</v>
      </c>
      <c r="K19">
        <v>103.2</v>
      </c>
      <c r="L19">
        <v>105.7</v>
      </c>
      <c r="M19">
        <v>109</v>
      </c>
      <c r="N19">
        <v>111.6</v>
      </c>
      <c r="O19">
        <v>112.2</v>
      </c>
      <c r="P19">
        <v>104.2</v>
      </c>
      <c r="Q19">
        <v>109.5</v>
      </c>
      <c r="R19">
        <v>108.1</v>
      </c>
      <c r="S19">
        <v>109.3</v>
      </c>
      <c r="T19">
        <v>107.6</v>
      </c>
      <c r="U19">
        <v>106.6</v>
      </c>
      <c r="V19">
        <v>108.3</v>
      </c>
      <c r="W19">
        <v>105.1</v>
      </c>
      <c r="X19">
        <v>105.4</v>
      </c>
      <c r="Y19">
        <v>102.8</v>
      </c>
      <c r="Z19">
        <v>106.4</v>
      </c>
      <c r="AA19">
        <v>107.4</v>
      </c>
      <c r="AB19">
        <v>109.5</v>
      </c>
      <c r="AC19">
        <v>105.8</v>
      </c>
      <c r="AD19">
        <v>109.3</v>
      </c>
    </row>
    <row r="20" spans="1:30" x14ac:dyDescent="0.35">
      <c r="A20" t="s">
        <v>30</v>
      </c>
      <c r="B20">
        <v>2013</v>
      </c>
      <c r="C20" t="s">
        <v>39</v>
      </c>
      <c r="D20">
        <v>113.4</v>
      </c>
      <c r="E20">
        <v>114.9</v>
      </c>
      <c r="F20">
        <v>110.5</v>
      </c>
      <c r="G20">
        <v>109.3</v>
      </c>
      <c r="H20">
        <v>110.3</v>
      </c>
      <c r="I20">
        <v>129.19999999999999</v>
      </c>
      <c r="J20">
        <v>107.1</v>
      </c>
      <c r="K20">
        <v>104.3</v>
      </c>
      <c r="L20">
        <v>106.4</v>
      </c>
      <c r="M20">
        <v>109.1</v>
      </c>
      <c r="N20">
        <v>112.1</v>
      </c>
      <c r="O20">
        <v>113.1</v>
      </c>
      <c r="P20">
        <v>106.2</v>
      </c>
      <c r="Q20">
        <v>110.5</v>
      </c>
      <c r="R20">
        <v>109.5</v>
      </c>
      <c r="S20">
        <v>110.3</v>
      </c>
      <c r="T20">
        <v>108.3</v>
      </c>
      <c r="U20">
        <v>139.2551</v>
      </c>
      <c r="V20">
        <v>109.5</v>
      </c>
      <c r="W20">
        <v>106.8</v>
      </c>
      <c r="X20">
        <v>106.4</v>
      </c>
      <c r="Y20">
        <v>102.5</v>
      </c>
      <c r="Z20">
        <v>106.9</v>
      </c>
      <c r="AA20">
        <v>107.8</v>
      </c>
      <c r="AB20">
        <v>109.8</v>
      </c>
      <c r="AC20">
        <v>106.5</v>
      </c>
      <c r="AD20">
        <v>110.7</v>
      </c>
    </row>
    <row r="21" spans="1:30" x14ac:dyDescent="0.35">
      <c r="A21" t="s">
        <v>32</v>
      </c>
      <c r="B21">
        <v>2013</v>
      </c>
      <c r="C21" t="s">
        <v>39</v>
      </c>
      <c r="D21">
        <v>117.8</v>
      </c>
      <c r="E21">
        <v>119.2</v>
      </c>
      <c r="F21">
        <v>114</v>
      </c>
      <c r="G21">
        <v>108.3</v>
      </c>
      <c r="H21">
        <v>113.2</v>
      </c>
      <c r="I21">
        <v>160.9</v>
      </c>
      <c r="J21">
        <v>105.1</v>
      </c>
      <c r="K21">
        <v>101.3</v>
      </c>
      <c r="L21">
        <v>107.5</v>
      </c>
      <c r="M21">
        <v>110.4</v>
      </c>
      <c r="N21">
        <v>113.1</v>
      </c>
      <c r="O21">
        <v>117.5</v>
      </c>
      <c r="P21">
        <v>101.1</v>
      </c>
      <c r="Q21">
        <v>109.8</v>
      </c>
      <c r="R21">
        <v>107.8</v>
      </c>
      <c r="S21">
        <v>109.5</v>
      </c>
      <c r="T21">
        <v>108.1</v>
      </c>
      <c r="U21">
        <v>107.7</v>
      </c>
      <c r="V21">
        <v>108.6</v>
      </c>
      <c r="W21">
        <v>107.3</v>
      </c>
      <c r="X21">
        <v>105.9</v>
      </c>
      <c r="Y21">
        <v>103.2</v>
      </c>
      <c r="Z21">
        <v>107.1</v>
      </c>
      <c r="AA21">
        <v>110.1</v>
      </c>
      <c r="AB21">
        <v>111.7</v>
      </c>
      <c r="AC21">
        <v>107.3</v>
      </c>
      <c r="AD21">
        <v>111.4</v>
      </c>
    </row>
    <row r="22" spans="1:30" x14ac:dyDescent="0.35">
      <c r="A22" t="s">
        <v>33</v>
      </c>
      <c r="B22">
        <v>2013</v>
      </c>
      <c r="C22" t="s">
        <v>39</v>
      </c>
      <c r="D22">
        <v>114.8</v>
      </c>
      <c r="E22">
        <v>116.4</v>
      </c>
      <c r="F22">
        <v>111.9</v>
      </c>
      <c r="G22">
        <v>108.9</v>
      </c>
      <c r="H22">
        <v>111.7</v>
      </c>
      <c r="I22">
        <v>140</v>
      </c>
      <c r="J22">
        <v>106.4</v>
      </c>
      <c r="K22">
        <v>103.3</v>
      </c>
      <c r="L22">
        <v>106.8</v>
      </c>
      <c r="M22">
        <v>109.6</v>
      </c>
      <c r="N22">
        <v>112.6</v>
      </c>
      <c r="O22">
        <v>114.7</v>
      </c>
      <c r="P22">
        <v>104.3</v>
      </c>
      <c r="Q22">
        <v>110.2</v>
      </c>
      <c r="R22">
        <v>108.8</v>
      </c>
      <c r="S22">
        <v>110</v>
      </c>
      <c r="T22">
        <v>108.2</v>
      </c>
      <c r="U22">
        <v>107.7</v>
      </c>
      <c r="V22">
        <v>109.2</v>
      </c>
      <c r="W22">
        <v>107.1</v>
      </c>
      <c r="X22">
        <v>106.1</v>
      </c>
      <c r="Y22">
        <v>102.8</v>
      </c>
      <c r="Z22">
        <v>107</v>
      </c>
      <c r="AA22">
        <v>109.1</v>
      </c>
      <c r="AB22">
        <v>110.3</v>
      </c>
      <c r="AC22">
        <v>106.9</v>
      </c>
      <c r="AD22">
        <v>111</v>
      </c>
    </row>
    <row r="23" spans="1:30" x14ac:dyDescent="0.35">
      <c r="A23" t="s">
        <v>30</v>
      </c>
      <c r="B23">
        <v>2013</v>
      </c>
      <c r="C23" t="s">
        <v>40</v>
      </c>
      <c r="D23">
        <v>114.3</v>
      </c>
      <c r="E23">
        <v>115.4</v>
      </c>
      <c r="F23">
        <v>111.1</v>
      </c>
      <c r="G23">
        <v>110</v>
      </c>
      <c r="H23">
        <v>110.8</v>
      </c>
      <c r="I23">
        <v>138.9</v>
      </c>
      <c r="J23">
        <v>107.4</v>
      </c>
      <c r="K23">
        <v>104.1</v>
      </c>
      <c r="L23">
        <v>106.9</v>
      </c>
      <c r="M23">
        <v>109.7</v>
      </c>
      <c r="N23">
        <v>112.6</v>
      </c>
      <c r="O23">
        <v>114.9</v>
      </c>
      <c r="P23">
        <v>106.4</v>
      </c>
      <c r="Q23">
        <v>111.3</v>
      </c>
      <c r="R23">
        <v>110.2</v>
      </c>
      <c r="S23">
        <v>111.1</v>
      </c>
      <c r="T23">
        <v>108.7</v>
      </c>
      <c r="U23">
        <v>139.2551</v>
      </c>
      <c r="V23">
        <v>109.9</v>
      </c>
      <c r="W23">
        <v>107.8</v>
      </c>
      <c r="X23">
        <v>106.8</v>
      </c>
      <c r="Y23">
        <v>105</v>
      </c>
      <c r="Z23">
        <v>107.5</v>
      </c>
      <c r="AA23">
        <v>108.7</v>
      </c>
      <c r="AB23">
        <v>110.7</v>
      </c>
      <c r="AC23">
        <v>107.5</v>
      </c>
      <c r="AD23">
        <v>112.1</v>
      </c>
    </row>
    <row r="24" spans="1:30" x14ac:dyDescent="0.35">
      <c r="A24" t="s">
        <v>32</v>
      </c>
      <c r="B24">
        <v>2013</v>
      </c>
      <c r="C24" t="s">
        <v>40</v>
      </c>
      <c r="D24">
        <v>118.3</v>
      </c>
      <c r="E24">
        <v>120.4</v>
      </c>
      <c r="F24">
        <v>112.7</v>
      </c>
      <c r="G24">
        <v>108.9</v>
      </c>
      <c r="H24">
        <v>108.7</v>
      </c>
      <c r="I24">
        <v>177</v>
      </c>
      <c r="J24">
        <v>104.7</v>
      </c>
      <c r="K24">
        <v>101</v>
      </c>
      <c r="L24">
        <v>108.5</v>
      </c>
      <c r="M24">
        <v>110.9</v>
      </c>
      <c r="N24">
        <v>114.3</v>
      </c>
      <c r="O24">
        <v>119.6</v>
      </c>
      <c r="P24">
        <v>101.1</v>
      </c>
      <c r="Q24">
        <v>110.6</v>
      </c>
      <c r="R24">
        <v>108.3</v>
      </c>
      <c r="S24">
        <v>110.2</v>
      </c>
      <c r="T24">
        <v>108.7</v>
      </c>
      <c r="U24">
        <v>108.9</v>
      </c>
      <c r="V24">
        <v>109.3</v>
      </c>
      <c r="W24">
        <v>108.1</v>
      </c>
      <c r="X24">
        <v>106.5</v>
      </c>
      <c r="Y24">
        <v>106</v>
      </c>
      <c r="Z24">
        <v>107.6</v>
      </c>
      <c r="AA24">
        <v>110.8</v>
      </c>
      <c r="AB24">
        <v>112.4</v>
      </c>
      <c r="AC24">
        <v>108.3</v>
      </c>
      <c r="AD24">
        <v>112.7</v>
      </c>
    </row>
    <row r="25" spans="1:30" x14ac:dyDescent="0.35">
      <c r="A25" t="s">
        <v>33</v>
      </c>
      <c r="B25">
        <v>2013</v>
      </c>
      <c r="C25" t="s">
        <v>40</v>
      </c>
      <c r="D25">
        <v>115.6</v>
      </c>
      <c r="E25">
        <v>117.2</v>
      </c>
      <c r="F25">
        <v>111.7</v>
      </c>
      <c r="G25">
        <v>109.6</v>
      </c>
      <c r="H25">
        <v>109.8</v>
      </c>
      <c r="I25">
        <v>151.80000000000001</v>
      </c>
      <c r="J25">
        <v>106.5</v>
      </c>
      <c r="K25">
        <v>103.1</v>
      </c>
      <c r="L25">
        <v>107.4</v>
      </c>
      <c r="M25">
        <v>110.2</v>
      </c>
      <c r="N25">
        <v>113.4</v>
      </c>
      <c r="O25">
        <v>116.6</v>
      </c>
      <c r="P25">
        <v>104.5</v>
      </c>
      <c r="Q25">
        <v>111</v>
      </c>
      <c r="R25">
        <v>109.4</v>
      </c>
      <c r="S25">
        <v>110.7</v>
      </c>
      <c r="T25">
        <v>108.7</v>
      </c>
      <c r="U25">
        <v>108.9</v>
      </c>
      <c r="V25">
        <v>109.7</v>
      </c>
      <c r="W25">
        <v>108</v>
      </c>
      <c r="X25">
        <v>106.6</v>
      </c>
      <c r="Y25">
        <v>105.4</v>
      </c>
      <c r="Z25">
        <v>107.5</v>
      </c>
      <c r="AA25">
        <v>109.9</v>
      </c>
      <c r="AB25">
        <v>111.2</v>
      </c>
      <c r="AC25">
        <v>107.9</v>
      </c>
      <c r="AD25">
        <v>112.4</v>
      </c>
    </row>
    <row r="26" spans="1:30" x14ac:dyDescent="0.35">
      <c r="A26" t="s">
        <v>30</v>
      </c>
      <c r="B26">
        <v>2013</v>
      </c>
      <c r="C26" t="s">
        <v>41</v>
      </c>
      <c r="D26">
        <v>115.4</v>
      </c>
      <c r="E26">
        <v>115.7</v>
      </c>
      <c r="F26">
        <v>111.7</v>
      </c>
      <c r="G26">
        <v>111</v>
      </c>
      <c r="H26">
        <v>110.9</v>
      </c>
      <c r="I26">
        <v>154</v>
      </c>
      <c r="J26">
        <v>108.1</v>
      </c>
      <c r="K26">
        <v>104.2</v>
      </c>
      <c r="L26">
        <v>107.9</v>
      </c>
      <c r="M26">
        <v>110.4</v>
      </c>
      <c r="N26">
        <v>114</v>
      </c>
      <c r="O26">
        <v>117.8</v>
      </c>
      <c r="P26">
        <v>107.4</v>
      </c>
      <c r="Q26">
        <v>112.7</v>
      </c>
      <c r="R26">
        <v>111.4</v>
      </c>
      <c r="S26">
        <v>112.5</v>
      </c>
      <c r="T26">
        <v>109.6</v>
      </c>
      <c r="U26">
        <v>139.2551</v>
      </c>
      <c r="V26">
        <v>111.1</v>
      </c>
      <c r="W26">
        <v>109.3</v>
      </c>
      <c r="X26">
        <v>107.7</v>
      </c>
      <c r="Y26">
        <v>106.7</v>
      </c>
      <c r="Z26">
        <v>108.3</v>
      </c>
      <c r="AA26">
        <v>109.8</v>
      </c>
      <c r="AB26">
        <v>111.7</v>
      </c>
      <c r="AC26">
        <v>108.7</v>
      </c>
      <c r="AD26">
        <v>114.2</v>
      </c>
    </row>
    <row r="27" spans="1:30" x14ac:dyDescent="0.35">
      <c r="A27" t="s">
        <v>32</v>
      </c>
      <c r="B27">
        <v>2013</v>
      </c>
      <c r="C27" t="s">
        <v>41</v>
      </c>
      <c r="D27">
        <v>118.6</v>
      </c>
      <c r="E27">
        <v>119.1</v>
      </c>
      <c r="F27">
        <v>113.2</v>
      </c>
      <c r="G27">
        <v>109.6</v>
      </c>
      <c r="H27">
        <v>103.2</v>
      </c>
      <c r="I27">
        <v>174.3</v>
      </c>
      <c r="J27">
        <v>105.1</v>
      </c>
      <c r="K27">
        <v>100.8</v>
      </c>
      <c r="L27">
        <v>109.1</v>
      </c>
      <c r="M27">
        <v>111.1</v>
      </c>
      <c r="N27">
        <v>115.4</v>
      </c>
      <c r="O27">
        <v>119.2</v>
      </c>
      <c r="P27">
        <v>101.7</v>
      </c>
      <c r="Q27">
        <v>111.4</v>
      </c>
      <c r="R27">
        <v>109</v>
      </c>
      <c r="S27">
        <v>111.1</v>
      </c>
      <c r="T27">
        <v>109.6</v>
      </c>
      <c r="U27">
        <v>109.7</v>
      </c>
      <c r="V27">
        <v>109.5</v>
      </c>
      <c r="W27">
        <v>110.4</v>
      </c>
      <c r="X27">
        <v>107.4</v>
      </c>
      <c r="Y27">
        <v>106.9</v>
      </c>
      <c r="Z27">
        <v>107.9</v>
      </c>
      <c r="AA27">
        <v>111.2</v>
      </c>
      <c r="AB27">
        <v>112.9</v>
      </c>
      <c r="AC27">
        <v>109.4</v>
      </c>
      <c r="AD27">
        <v>113.2</v>
      </c>
    </row>
    <row r="28" spans="1:30" x14ac:dyDescent="0.35">
      <c r="A28" t="s">
        <v>33</v>
      </c>
      <c r="B28">
        <v>2013</v>
      </c>
      <c r="C28" t="s">
        <v>41</v>
      </c>
      <c r="D28">
        <v>116.4</v>
      </c>
      <c r="E28">
        <v>116.9</v>
      </c>
      <c r="F28">
        <v>112.3</v>
      </c>
      <c r="G28">
        <v>110.5</v>
      </c>
      <c r="H28">
        <v>107.3</v>
      </c>
      <c r="I28">
        <v>160.9</v>
      </c>
      <c r="J28">
        <v>107.1</v>
      </c>
      <c r="K28">
        <v>103.1</v>
      </c>
      <c r="L28">
        <v>108.3</v>
      </c>
      <c r="M28">
        <v>110.7</v>
      </c>
      <c r="N28">
        <v>114.6</v>
      </c>
      <c r="O28">
        <v>118.3</v>
      </c>
      <c r="P28">
        <v>105.3</v>
      </c>
      <c r="Q28">
        <v>112.2</v>
      </c>
      <c r="R28">
        <v>110.4</v>
      </c>
      <c r="S28">
        <v>111.9</v>
      </c>
      <c r="T28">
        <v>109.6</v>
      </c>
      <c r="U28">
        <v>109.7</v>
      </c>
      <c r="V28">
        <v>110.5</v>
      </c>
      <c r="W28">
        <v>109.9</v>
      </c>
      <c r="X28">
        <v>107.5</v>
      </c>
      <c r="Y28">
        <v>106.8</v>
      </c>
      <c r="Z28">
        <v>108.1</v>
      </c>
      <c r="AA28">
        <v>110.6</v>
      </c>
      <c r="AB28">
        <v>112</v>
      </c>
      <c r="AC28">
        <v>109</v>
      </c>
      <c r="AD28">
        <v>113.7</v>
      </c>
    </row>
    <row r="29" spans="1:30" x14ac:dyDescent="0.35">
      <c r="A29" t="s">
        <v>30</v>
      </c>
      <c r="B29">
        <v>2013</v>
      </c>
      <c r="C29" t="s">
        <v>42</v>
      </c>
      <c r="D29">
        <v>116.3</v>
      </c>
      <c r="E29">
        <v>115.4</v>
      </c>
      <c r="F29">
        <v>112.6</v>
      </c>
      <c r="G29">
        <v>111.7</v>
      </c>
      <c r="H29">
        <v>113.2</v>
      </c>
      <c r="I29">
        <v>164.9</v>
      </c>
      <c r="J29">
        <v>108.3</v>
      </c>
      <c r="K29">
        <v>103.9</v>
      </c>
      <c r="L29">
        <v>108.2</v>
      </c>
      <c r="M29">
        <v>111.1</v>
      </c>
      <c r="N29">
        <v>114.9</v>
      </c>
      <c r="O29">
        <v>119.8</v>
      </c>
      <c r="P29">
        <v>107.7</v>
      </c>
      <c r="Q29">
        <v>113.6</v>
      </c>
      <c r="R29">
        <v>112.3</v>
      </c>
      <c r="S29">
        <v>113.4</v>
      </c>
      <c r="T29">
        <v>110.4</v>
      </c>
      <c r="U29">
        <v>139.2551</v>
      </c>
      <c r="V29">
        <v>111.6</v>
      </c>
      <c r="W29">
        <v>109.3</v>
      </c>
      <c r="X29">
        <v>108.3</v>
      </c>
      <c r="Y29">
        <v>107.5</v>
      </c>
      <c r="Z29">
        <v>108.9</v>
      </c>
      <c r="AA29">
        <v>110.2</v>
      </c>
      <c r="AB29">
        <v>112.2</v>
      </c>
      <c r="AC29">
        <v>109.1</v>
      </c>
      <c r="AD29">
        <v>115.5</v>
      </c>
    </row>
    <row r="30" spans="1:30" x14ac:dyDescent="0.35">
      <c r="A30" t="s">
        <v>32</v>
      </c>
      <c r="B30">
        <v>2013</v>
      </c>
      <c r="C30" t="s">
        <v>42</v>
      </c>
      <c r="D30">
        <v>118.9</v>
      </c>
      <c r="E30">
        <v>118.1</v>
      </c>
      <c r="F30">
        <v>114.5</v>
      </c>
      <c r="G30">
        <v>110.4</v>
      </c>
      <c r="H30">
        <v>106.2</v>
      </c>
      <c r="I30">
        <v>183.5</v>
      </c>
      <c r="J30">
        <v>105.3</v>
      </c>
      <c r="K30">
        <v>100.2</v>
      </c>
      <c r="L30">
        <v>109.6</v>
      </c>
      <c r="M30">
        <v>111.4</v>
      </c>
      <c r="N30">
        <v>116</v>
      </c>
      <c r="O30">
        <v>120.8</v>
      </c>
      <c r="P30">
        <v>102.3</v>
      </c>
      <c r="Q30">
        <v>112.5</v>
      </c>
      <c r="R30">
        <v>109.7</v>
      </c>
      <c r="S30">
        <v>112</v>
      </c>
      <c r="T30">
        <v>110.2</v>
      </c>
      <c r="U30">
        <v>110.5</v>
      </c>
      <c r="V30">
        <v>109.7</v>
      </c>
      <c r="W30">
        <v>109.7</v>
      </c>
      <c r="X30">
        <v>108</v>
      </c>
      <c r="Y30">
        <v>107.3</v>
      </c>
      <c r="Z30">
        <v>108.2</v>
      </c>
      <c r="AA30">
        <v>111.3</v>
      </c>
      <c r="AB30">
        <v>113.5</v>
      </c>
      <c r="AC30">
        <v>109.4</v>
      </c>
      <c r="AD30">
        <v>114</v>
      </c>
    </row>
    <row r="31" spans="1:30" x14ac:dyDescent="0.35">
      <c r="A31" t="s">
        <v>33</v>
      </c>
      <c r="B31">
        <v>2013</v>
      </c>
      <c r="C31" t="s">
        <v>42</v>
      </c>
      <c r="D31">
        <v>117.1</v>
      </c>
      <c r="E31">
        <v>116.3</v>
      </c>
      <c r="F31">
        <v>113.3</v>
      </c>
      <c r="G31">
        <v>111.2</v>
      </c>
      <c r="H31">
        <v>109.9</v>
      </c>
      <c r="I31">
        <v>171.2</v>
      </c>
      <c r="J31">
        <v>107.3</v>
      </c>
      <c r="K31">
        <v>102.7</v>
      </c>
      <c r="L31">
        <v>108.7</v>
      </c>
      <c r="M31">
        <v>111.2</v>
      </c>
      <c r="N31">
        <v>115.4</v>
      </c>
      <c r="O31">
        <v>120.2</v>
      </c>
      <c r="P31">
        <v>105.7</v>
      </c>
      <c r="Q31">
        <v>113.2</v>
      </c>
      <c r="R31">
        <v>111.2</v>
      </c>
      <c r="S31">
        <v>112.8</v>
      </c>
      <c r="T31">
        <v>110.3</v>
      </c>
      <c r="U31">
        <v>110.5</v>
      </c>
      <c r="V31">
        <v>110.9</v>
      </c>
      <c r="W31">
        <v>109.5</v>
      </c>
      <c r="X31">
        <v>108.1</v>
      </c>
      <c r="Y31">
        <v>107.4</v>
      </c>
      <c r="Z31">
        <v>108.6</v>
      </c>
      <c r="AA31">
        <v>110.8</v>
      </c>
      <c r="AB31">
        <v>112.5</v>
      </c>
      <c r="AC31">
        <v>109.2</v>
      </c>
      <c r="AD31">
        <v>114.8</v>
      </c>
    </row>
    <row r="32" spans="1:30" x14ac:dyDescent="0.35">
      <c r="A32" t="s">
        <v>30</v>
      </c>
      <c r="B32">
        <v>2013</v>
      </c>
      <c r="C32" t="s">
        <v>43</v>
      </c>
      <c r="D32">
        <v>117.3</v>
      </c>
      <c r="E32">
        <v>114.9</v>
      </c>
      <c r="F32">
        <v>116.2</v>
      </c>
      <c r="G32">
        <v>112.8</v>
      </c>
      <c r="H32">
        <v>116.6</v>
      </c>
      <c r="I32">
        <v>178.1</v>
      </c>
      <c r="J32">
        <v>109.1</v>
      </c>
      <c r="K32">
        <v>103.6</v>
      </c>
      <c r="L32">
        <v>109</v>
      </c>
      <c r="M32">
        <v>111.8</v>
      </c>
      <c r="N32">
        <v>116</v>
      </c>
      <c r="O32">
        <v>122.5</v>
      </c>
      <c r="P32">
        <v>108.9</v>
      </c>
      <c r="Q32">
        <v>114.6</v>
      </c>
      <c r="R32">
        <v>113.1</v>
      </c>
      <c r="S32">
        <v>114.4</v>
      </c>
      <c r="T32">
        <v>111.3</v>
      </c>
      <c r="U32">
        <v>139.2551</v>
      </c>
      <c r="V32">
        <v>112.6</v>
      </c>
      <c r="W32">
        <v>109.6</v>
      </c>
      <c r="X32">
        <v>108.7</v>
      </c>
      <c r="Y32">
        <v>108.2</v>
      </c>
      <c r="Z32">
        <v>109.7</v>
      </c>
      <c r="AA32">
        <v>111</v>
      </c>
      <c r="AB32">
        <v>112.8</v>
      </c>
      <c r="AC32">
        <v>109.8</v>
      </c>
      <c r="AD32">
        <v>117.4</v>
      </c>
    </row>
    <row r="33" spans="1:30" x14ac:dyDescent="0.35">
      <c r="A33" t="s">
        <v>32</v>
      </c>
      <c r="B33">
        <v>2013</v>
      </c>
      <c r="C33" t="s">
        <v>44</v>
      </c>
      <c r="D33">
        <v>119.8</v>
      </c>
      <c r="E33">
        <v>116.3</v>
      </c>
      <c r="F33">
        <v>122.6</v>
      </c>
      <c r="G33">
        <v>112</v>
      </c>
      <c r="H33">
        <v>110</v>
      </c>
      <c r="I33">
        <v>192.8</v>
      </c>
      <c r="J33">
        <v>106.3</v>
      </c>
      <c r="K33">
        <v>99.5</v>
      </c>
      <c r="L33">
        <v>110.3</v>
      </c>
      <c r="M33">
        <v>111.8</v>
      </c>
      <c r="N33">
        <v>117.1</v>
      </c>
      <c r="O33">
        <v>122.9</v>
      </c>
      <c r="P33">
        <v>103.2</v>
      </c>
      <c r="Q33">
        <v>113.5</v>
      </c>
      <c r="R33">
        <v>110.3</v>
      </c>
      <c r="S33">
        <v>113</v>
      </c>
      <c r="T33">
        <v>110.9</v>
      </c>
      <c r="U33">
        <v>111.1</v>
      </c>
      <c r="V33">
        <v>110</v>
      </c>
      <c r="W33">
        <v>109.5</v>
      </c>
      <c r="X33">
        <v>108.5</v>
      </c>
      <c r="Y33">
        <v>107.9</v>
      </c>
      <c r="Z33">
        <v>108.6</v>
      </c>
      <c r="AA33">
        <v>111.3</v>
      </c>
      <c r="AB33">
        <v>114.1</v>
      </c>
      <c r="AC33">
        <v>109.6</v>
      </c>
      <c r="AD33">
        <v>115</v>
      </c>
    </row>
    <row r="34" spans="1:30" x14ac:dyDescent="0.35">
      <c r="A34" t="s">
        <v>33</v>
      </c>
      <c r="B34">
        <v>2013</v>
      </c>
      <c r="C34" t="s">
        <v>44</v>
      </c>
      <c r="D34">
        <v>118.1</v>
      </c>
      <c r="E34">
        <v>115.4</v>
      </c>
      <c r="F34">
        <v>118.7</v>
      </c>
      <c r="G34">
        <v>112.5</v>
      </c>
      <c r="H34">
        <v>113.5</v>
      </c>
      <c r="I34">
        <v>183.1</v>
      </c>
      <c r="J34">
        <v>108.2</v>
      </c>
      <c r="K34">
        <v>102.2</v>
      </c>
      <c r="L34">
        <v>109.4</v>
      </c>
      <c r="M34">
        <v>111.8</v>
      </c>
      <c r="N34">
        <v>116.5</v>
      </c>
      <c r="O34">
        <v>122.6</v>
      </c>
      <c r="P34">
        <v>106.8</v>
      </c>
      <c r="Q34">
        <v>114.2</v>
      </c>
      <c r="R34">
        <v>111.9</v>
      </c>
      <c r="S34">
        <v>113.8</v>
      </c>
      <c r="T34">
        <v>111.1</v>
      </c>
      <c r="U34">
        <v>111.1</v>
      </c>
      <c r="V34">
        <v>111.6</v>
      </c>
      <c r="W34">
        <v>109.5</v>
      </c>
      <c r="X34">
        <v>108.6</v>
      </c>
      <c r="Y34">
        <v>108.1</v>
      </c>
      <c r="Z34">
        <v>109.3</v>
      </c>
      <c r="AA34">
        <v>111.2</v>
      </c>
      <c r="AB34">
        <v>113.1</v>
      </c>
      <c r="AC34">
        <v>109.7</v>
      </c>
      <c r="AD34">
        <v>116.3</v>
      </c>
    </row>
    <row r="35" spans="1:30" x14ac:dyDescent="0.35">
      <c r="A35" t="s">
        <v>30</v>
      </c>
      <c r="B35">
        <v>2013</v>
      </c>
      <c r="C35" t="s">
        <v>45</v>
      </c>
      <c r="D35">
        <v>118.4</v>
      </c>
      <c r="E35">
        <v>115.9</v>
      </c>
      <c r="F35">
        <v>120.4</v>
      </c>
      <c r="G35">
        <v>113.8</v>
      </c>
      <c r="H35">
        <v>115.5</v>
      </c>
      <c r="I35">
        <v>145.69999999999999</v>
      </c>
      <c r="J35">
        <v>109.5</v>
      </c>
      <c r="K35">
        <v>102.9</v>
      </c>
      <c r="L35">
        <v>109.8</v>
      </c>
      <c r="M35">
        <v>112.1</v>
      </c>
      <c r="N35">
        <v>116.8</v>
      </c>
      <c r="O35">
        <v>118.7</v>
      </c>
      <c r="P35">
        <v>109.5</v>
      </c>
      <c r="Q35">
        <v>115.8</v>
      </c>
      <c r="R35">
        <v>114</v>
      </c>
      <c r="S35">
        <v>115.5</v>
      </c>
      <c r="T35">
        <v>112.1</v>
      </c>
      <c r="U35">
        <v>139.2551</v>
      </c>
      <c r="V35">
        <v>112.8</v>
      </c>
      <c r="W35">
        <v>109.9</v>
      </c>
      <c r="X35">
        <v>109.2</v>
      </c>
      <c r="Y35">
        <v>108.1</v>
      </c>
      <c r="Z35">
        <v>110.1</v>
      </c>
      <c r="AA35">
        <v>111.6</v>
      </c>
      <c r="AB35">
        <v>113.6</v>
      </c>
      <c r="AC35">
        <v>110.1</v>
      </c>
      <c r="AD35">
        <v>115.5</v>
      </c>
    </row>
    <row r="36" spans="1:30" x14ac:dyDescent="0.35">
      <c r="A36" t="s">
        <v>32</v>
      </c>
      <c r="B36">
        <v>2013</v>
      </c>
      <c r="C36" t="s">
        <v>45</v>
      </c>
      <c r="D36">
        <v>120.5</v>
      </c>
      <c r="E36">
        <v>118.1</v>
      </c>
      <c r="F36">
        <v>128.5</v>
      </c>
      <c r="G36">
        <v>112.8</v>
      </c>
      <c r="H36">
        <v>110.7</v>
      </c>
      <c r="I36">
        <v>144.80000000000001</v>
      </c>
      <c r="J36">
        <v>107.1</v>
      </c>
      <c r="K36">
        <v>98.6</v>
      </c>
      <c r="L36">
        <v>111.9</v>
      </c>
      <c r="M36">
        <v>112.1</v>
      </c>
      <c r="N36">
        <v>118.1</v>
      </c>
      <c r="O36">
        <v>117.8</v>
      </c>
      <c r="P36">
        <v>103.4</v>
      </c>
      <c r="Q36">
        <v>114.2</v>
      </c>
      <c r="R36">
        <v>110.9</v>
      </c>
      <c r="S36">
        <v>113.7</v>
      </c>
      <c r="T36">
        <v>111.3</v>
      </c>
      <c r="U36">
        <v>110.7</v>
      </c>
      <c r="V36">
        <v>110.4</v>
      </c>
      <c r="W36">
        <v>109.7</v>
      </c>
      <c r="X36">
        <v>108.9</v>
      </c>
      <c r="Y36">
        <v>107.7</v>
      </c>
      <c r="Z36">
        <v>109</v>
      </c>
      <c r="AA36">
        <v>111.4</v>
      </c>
      <c r="AB36">
        <v>115</v>
      </c>
      <c r="AC36">
        <v>109.8</v>
      </c>
      <c r="AD36">
        <v>113.3</v>
      </c>
    </row>
    <row r="37" spans="1:30" x14ac:dyDescent="0.35">
      <c r="A37" t="s">
        <v>33</v>
      </c>
      <c r="B37">
        <v>2013</v>
      </c>
      <c r="C37" t="s">
        <v>45</v>
      </c>
      <c r="D37">
        <v>119.1</v>
      </c>
      <c r="E37">
        <v>116.7</v>
      </c>
      <c r="F37">
        <v>123.5</v>
      </c>
      <c r="G37">
        <v>113.4</v>
      </c>
      <c r="H37">
        <v>113.3</v>
      </c>
      <c r="I37">
        <v>145.4</v>
      </c>
      <c r="J37">
        <v>108.7</v>
      </c>
      <c r="K37">
        <v>101.5</v>
      </c>
      <c r="L37">
        <v>110.5</v>
      </c>
      <c r="M37">
        <v>112.1</v>
      </c>
      <c r="N37">
        <v>117.4</v>
      </c>
      <c r="O37">
        <v>118.4</v>
      </c>
      <c r="P37">
        <v>107.3</v>
      </c>
      <c r="Q37">
        <v>115.2</v>
      </c>
      <c r="R37">
        <v>112.7</v>
      </c>
      <c r="S37">
        <v>114.8</v>
      </c>
      <c r="T37">
        <v>111.7</v>
      </c>
      <c r="U37">
        <v>110.7</v>
      </c>
      <c r="V37">
        <v>111.9</v>
      </c>
      <c r="W37">
        <v>109.8</v>
      </c>
      <c r="X37">
        <v>109</v>
      </c>
      <c r="Y37">
        <v>107.9</v>
      </c>
      <c r="Z37">
        <v>109.7</v>
      </c>
      <c r="AA37">
        <v>111.5</v>
      </c>
      <c r="AB37">
        <v>114</v>
      </c>
      <c r="AC37">
        <v>110</v>
      </c>
      <c r="AD37">
        <v>114.5</v>
      </c>
    </row>
    <row r="38" spans="1:30" x14ac:dyDescent="0.35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115.5</v>
      </c>
      <c r="I38">
        <v>123.9</v>
      </c>
      <c r="J38">
        <v>109.6</v>
      </c>
      <c r="K38">
        <v>101.8</v>
      </c>
      <c r="L38">
        <v>110.2</v>
      </c>
      <c r="M38">
        <v>112.4</v>
      </c>
      <c r="N38">
        <v>117.3</v>
      </c>
      <c r="O38">
        <v>116</v>
      </c>
      <c r="P38">
        <v>109</v>
      </c>
      <c r="Q38">
        <v>116.5</v>
      </c>
      <c r="R38">
        <v>114.5</v>
      </c>
      <c r="S38">
        <v>116.2</v>
      </c>
      <c r="T38">
        <v>112.6</v>
      </c>
      <c r="U38">
        <v>139.2551</v>
      </c>
      <c r="V38">
        <v>113</v>
      </c>
      <c r="W38">
        <v>110.5</v>
      </c>
      <c r="X38">
        <v>109.6</v>
      </c>
      <c r="Y38">
        <v>108.3</v>
      </c>
      <c r="Z38">
        <v>110.6</v>
      </c>
      <c r="AA38">
        <v>111.8</v>
      </c>
      <c r="AB38">
        <v>114</v>
      </c>
      <c r="AC38">
        <v>110.6</v>
      </c>
      <c r="AD38">
        <v>114.2</v>
      </c>
    </row>
    <row r="39" spans="1:30" x14ac:dyDescent="0.35">
      <c r="A39" t="s">
        <v>32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112.1</v>
      </c>
      <c r="I39">
        <v>118.9</v>
      </c>
      <c r="J39">
        <v>107.5</v>
      </c>
      <c r="K39">
        <v>96.9</v>
      </c>
      <c r="L39">
        <v>112.7</v>
      </c>
      <c r="M39">
        <v>112.1</v>
      </c>
      <c r="N39">
        <v>119</v>
      </c>
      <c r="O39">
        <v>115.5</v>
      </c>
      <c r="P39">
        <v>102.9</v>
      </c>
      <c r="Q39">
        <v>114.8</v>
      </c>
      <c r="R39">
        <v>111.3</v>
      </c>
      <c r="S39">
        <v>114.3</v>
      </c>
      <c r="T39">
        <v>111.9</v>
      </c>
      <c r="U39">
        <v>111.6</v>
      </c>
      <c r="V39">
        <v>111</v>
      </c>
      <c r="W39">
        <v>110.8</v>
      </c>
      <c r="X39">
        <v>109.8</v>
      </c>
      <c r="Y39">
        <v>108</v>
      </c>
      <c r="Z39">
        <v>109.7</v>
      </c>
      <c r="AA39">
        <v>111.5</v>
      </c>
      <c r="AB39">
        <v>115.7</v>
      </c>
      <c r="AC39">
        <v>110.5</v>
      </c>
      <c r="AD39">
        <v>112.9</v>
      </c>
    </row>
    <row r="40" spans="1:30" x14ac:dyDescent="0.35">
      <c r="A40" t="s">
        <v>33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113.9</v>
      </c>
      <c r="I40">
        <v>122.2</v>
      </c>
      <c r="J40">
        <v>108.9</v>
      </c>
      <c r="K40">
        <v>100.2</v>
      </c>
      <c r="L40">
        <v>111</v>
      </c>
      <c r="M40">
        <v>112.3</v>
      </c>
      <c r="N40">
        <v>118.1</v>
      </c>
      <c r="O40">
        <v>115.8</v>
      </c>
      <c r="P40">
        <v>106.8</v>
      </c>
      <c r="Q40">
        <v>115.8</v>
      </c>
      <c r="R40">
        <v>113.2</v>
      </c>
      <c r="S40">
        <v>115.4</v>
      </c>
      <c r="T40">
        <v>112.3</v>
      </c>
      <c r="U40">
        <v>111.6</v>
      </c>
      <c r="V40">
        <v>112.2</v>
      </c>
      <c r="W40">
        <v>110.7</v>
      </c>
      <c r="X40">
        <v>109.7</v>
      </c>
      <c r="Y40">
        <v>108.2</v>
      </c>
      <c r="Z40">
        <v>110.3</v>
      </c>
      <c r="AA40">
        <v>111.6</v>
      </c>
      <c r="AB40">
        <v>114.5</v>
      </c>
      <c r="AC40">
        <v>110.6</v>
      </c>
      <c r="AD40">
        <v>113.6</v>
      </c>
    </row>
    <row r="41" spans="1:30" x14ac:dyDescent="0.35">
      <c r="A41" t="s">
        <v>30</v>
      </c>
      <c r="B41">
        <v>2014</v>
      </c>
      <c r="C41" t="s">
        <v>34</v>
      </c>
      <c r="D41">
        <v>119.4</v>
      </c>
      <c r="E41">
        <v>117.7</v>
      </c>
      <c r="F41">
        <v>121.2</v>
      </c>
      <c r="G41">
        <v>115</v>
      </c>
      <c r="H41">
        <v>116.6</v>
      </c>
      <c r="I41">
        <v>116</v>
      </c>
      <c r="J41">
        <v>109.8</v>
      </c>
      <c r="K41">
        <v>101.1</v>
      </c>
      <c r="L41">
        <v>110.4</v>
      </c>
      <c r="M41">
        <v>112.9</v>
      </c>
      <c r="N41">
        <v>117.8</v>
      </c>
      <c r="O41">
        <v>115.3</v>
      </c>
      <c r="P41">
        <v>109</v>
      </c>
      <c r="Q41">
        <v>117.1</v>
      </c>
      <c r="R41">
        <v>114.5</v>
      </c>
      <c r="S41">
        <v>116.7</v>
      </c>
      <c r="T41">
        <v>112.9</v>
      </c>
      <c r="U41">
        <v>139.2551</v>
      </c>
      <c r="V41">
        <v>113.2</v>
      </c>
      <c r="W41">
        <v>110.8</v>
      </c>
      <c r="X41">
        <v>109.9</v>
      </c>
      <c r="Y41">
        <v>108.7</v>
      </c>
      <c r="Z41">
        <v>110.9</v>
      </c>
      <c r="AA41">
        <v>112</v>
      </c>
      <c r="AB41">
        <v>114.2</v>
      </c>
      <c r="AC41">
        <v>110.9</v>
      </c>
      <c r="AD41">
        <v>114</v>
      </c>
    </row>
    <row r="42" spans="1:30" x14ac:dyDescent="0.35">
      <c r="A42" t="s">
        <v>32</v>
      </c>
      <c r="B42">
        <v>2014</v>
      </c>
      <c r="C42" t="s">
        <v>34</v>
      </c>
      <c r="D42">
        <v>121.9</v>
      </c>
      <c r="E42">
        <v>122</v>
      </c>
      <c r="F42">
        <v>124.5</v>
      </c>
      <c r="G42">
        <v>115.2</v>
      </c>
      <c r="H42">
        <v>114.1</v>
      </c>
      <c r="I42">
        <v>111.5</v>
      </c>
      <c r="J42">
        <v>108.2</v>
      </c>
      <c r="K42">
        <v>95.4</v>
      </c>
      <c r="L42">
        <v>113.5</v>
      </c>
      <c r="M42">
        <v>112.1</v>
      </c>
      <c r="N42">
        <v>119.9</v>
      </c>
      <c r="O42">
        <v>115.2</v>
      </c>
      <c r="P42">
        <v>102.5</v>
      </c>
      <c r="Q42">
        <v>115.3</v>
      </c>
      <c r="R42">
        <v>111.7</v>
      </c>
      <c r="S42">
        <v>114.7</v>
      </c>
      <c r="T42">
        <v>112.6</v>
      </c>
      <c r="U42">
        <v>112.5</v>
      </c>
      <c r="V42">
        <v>111.1</v>
      </c>
      <c r="W42">
        <v>111.3</v>
      </c>
      <c r="X42">
        <v>110.3</v>
      </c>
      <c r="Y42">
        <v>108.7</v>
      </c>
      <c r="Z42">
        <v>110.4</v>
      </c>
      <c r="AA42">
        <v>111.6</v>
      </c>
      <c r="AB42">
        <v>116.2</v>
      </c>
      <c r="AC42">
        <v>111</v>
      </c>
      <c r="AD42">
        <v>113.1</v>
      </c>
    </row>
    <row r="43" spans="1:30" x14ac:dyDescent="0.35">
      <c r="A43" t="s">
        <v>33</v>
      </c>
      <c r="B43">
        <v>2014</v>
      </c>
      <c r="C43" t="s">
        <v>34</v>
      </c>
      <c r="D43">
        <v>120.2</v>
      </c>
      <c r="E43">
        <v>119.2</v>
      </c>
      <c r="F43">
        <v>122.5</v>
      </c>
      <c r="G43">
        <v>115.1</v>
      </c>
      <c r="H43">
        <v>115.4</v>
      </c>
      <c r="I43">
        <v>114.5</v>
      </c>
      <c r="J43">
        <v>109.3</v>
      </c>
      <c r="K43">
        <v>99.2</v>
      </c>
      <c r="L43">
        <v>111.4</v>
      </c>
      <c r="M43">
        <v>112.6</v>
      </c>
      <c r="N43">
        <v>118.8</v>
      </c>
      <c r="O43">
        <v>115.3</v>
      </c>
      <c r="P43">
        <v>106.6</v>
      </c>
      <c r="Q43">
        <v>116.4</v>
      </c>
      <c r="R43">
        <v>113.3</v>
      </c>
      <c r="S43">
        <v>115.9</v>
      </c>
      <c r="T43">
        <v>112.8</v>
      </c>
      <c r="U43">
        <v>112.5</v>
      </c>
      <c r="V43">
        <v>112.4</v>
      </c>
      <c r="W43">
        <v>111.1</v>
      </c>
      <c r="X43">
        <v>110.1</v>
      </c>
      <c r="Y43">
        <v>108.7</v>
      </c>
      <c r="Z43">
        <v>110.7</v>
      </c>
      <c r="AA43">
        <v>111.8</v>
      </c>
      <c r="AB43">
        <v>114.7</v>
      </c>
      <c r="AC43">
        <v>110.9</v>
      </c>
      <c r="AD43">
        <v>113.6</v>
      </c>
    </row>
    <row r="44" spans="1:30" x14ac:dyDescent="0.35">
      <c r="A44" t="s">
        <v>30</v>
      </c>
      <c r="B44">
        <v>2014</v>
      </c>
      <c r="C44" t="s">
        <v>35</v>
      </c>
      <c r="D44">
        <v>120.1</v>
      </c>
      <c r="E44">
        <v>118.1</v>
      </c>
      <c r="F44">
        <v>120.7</v>
      </c>
      <c r="G44">
        <v>116.1</v>
      </c>
      <c r="H44">
        <v>119.6</v>
      </c>
      <c r="I44">
        <v>117.9</v>
      </c>
      <c r="J44">
        <v>110.2</v>
      </c>
      <c r="K44">
        <v>101.2</v>
      </c>
      <c r="L44">
        <v>110.7</v>
      </c>
      <c r="M44">
        <v>113</v>
      </c>
      <c r="N44">
        <v>118.3</v>
      </c>
      <c r="O44">
        <v>116.2</v>
      </c>
      <c r="P44">
        <v>109.3</v>
      </c>
      <c r="Q44">
        <v>117.5</v>
      </c>
      <c r="R44">
        <v>114.9</v>
      </c>
      <c r="S44">
        <v>117.2</v>
      </c>
      <c r="T44">
        <v>113.4</v>
      </c>
      <c r="U44">
        <v>139.2551</v>
      </c>
      <c r="V44">
        <v>113.4</v>
      </c>
      <c r="W44">
        <v>111.2</v>
      </c>
      <c r="X44">
        <v>110.2</v>
      </c>
      <c r="Y44">
        <v>108.9</v>
      </c>
      <c r="Z44">
        <v>111.4</v>
      </c>
      <c r="AA44">
        <v>112.4</v>
      </c>
      <c r="AB44">
        <v>114.6</v>
      </c>
      <c r="AC44">
        <v>111.3</v>
      </c>
      <c r="AD44">
        <v>114.6</v>
      </c>
    </row>
    <row r="45" spans="1:30" x14ac:dyDescent="0.35">
      <c r="A45" t="s">
        <v>32</v>
      </c>
      <c r="B45">
        <v>2014</v>
      </c>
      <c r="C45" t="s">
        <v>35</v>
      </c>
      <c r="D45">
        <v>122.1</v>
      </c>
      <c r="E45">
        <v>121.4</v>
      </c>
      <c r="F45">
        <v>121.5</v>
      </c>
      <c r="G45">
        <v>116.2</v>
      </c>
      <c r="H45">
        <v>117.7</v>
      </c>
      <c r="I45">
        <v>113.3</v>
      </c>
      <c r="J45">
        <v>108.9</v>
      </c>
      <c r="K45">
        <v>96.3</v>
      </c>
      <c r="L45">
        <v>114.1</v>
      </c>
      <c r="M45">
        <v>112.2</v>
      </c>
      <c r="N45">
        <v>120.5</v>
      </c>
      <c r="O45">
        <v>116</v>
      </c>
      <c r="P45">
        <v>102.8</v>
      </c>
      <c r="Q45">
        <v>115.8</v>
      </c>
      <c r="R45">
        <v>112.1</v>
      </c>
      <c r="S45">
        <v>115.2</v>
      </c>
      <c r="T45">
        <v>113</v>
      </c>
      <c r="U45">
        <v>113.2</v>
      </c>
      <c r="V45">
        <v>110.9</v>
      </c>
      <c r="W45">
        <v>111.6</v>
      </c>
      <c r="X45">
        <v>110.9</v>
      </c>
      <c r="Y45">
        <v>109.2</v>
      </c>
      <c r="Z45">
        <v>110.8</v>
      </c>
      <c r="AA45">
        <v>111.8</v>
      </c>
      <c r="AB45">
        <v>116.7</v>
      </c>
      <c r="AC45">
        <v>111.4</v>
      </c>
      <c r="AD45">
        <v>113.7</v>
      </c>
    </row>
    <row r="46" spans="1:30" x14ac:dyDescent="0.35">
      <c r="A46" t="s">
        <v>33</v>
      </c>
      <c r="B46">
        <v>2014</v>
      </c>
      <c r="C46" t="s">
        <v>46</v>
      </c>
      <c r="D46">
        <v>120.7</v>
      </c>
      <c r="E46">
        <v>119.3</v>
      </c>
      <c r="F46">
        <v>121</v>
      </c>
      <c r="G46">
        <v>116.1</v>
      </c>
      <c r="H46">
        <v>118.7</v>
      </c>
      <c r="I46">
        <v>116.3</v>
      </c>
      <c r="J46">
        <v>109.8</v>
      </c>
      <c r="K46">
        <v>99.6</v>
      </c>
      <c r="L46">
        <v>111.8</v>
      </c>
      <c r="M46">
        <v>112.7</v>
      </c>
      <c r="N46">
        <v>119.3</v>
      </c>
      <c r="O46">
        <v>116.1</v>
      </c>
      <c r="P46">
        <v>106.9</v>
      </c>
      <c r="Q46">
        <v>116.8</v>
      </c>
      <c r="R46">
        <v>113.7</v>
      </c>
      <c r="S46">
        <v>116.4</v>
      </c>
      <c r="T46">
        <v>113.2</v>
      </c>
      <c r="U46">
        <v>113.2</v>
      </c>
      <c r="V46">
        <v>112.5</v>
      </c>
      <c r="W46">
        <v>111.4</v>
      </c>
      <c r="X46">
        <v>110.6</v>
      </c>
      <c r="Y46">
        <v>109</v>
      </c>
      <c r="Z46">
        <v>111.2</v>
      </c>
      <c r="AA46">
        <v>112</v>
      </c>
      <c r="AB46">
        <v>115.2</v>
      </c>
      <c r="AC46">
        <v>111.3</v>
      </c>
      <c r="AD46">
        <v>114.2</v>
      </c>
    </row>
    <row r="47" spans="1:30" x14ac:dyDescent="0.35">
      <c r="A47" t="s">
        <v>30</v>
      </c>
      <c r="B47">
        <v>2014</v>
      </c>
      <c r="C47" t="s">
        <v>36</v>
      </c>
      <c r="D47">
        <v>120.2</v>
      </c>
      <c r="E47">
        <v>118.9</v>
      </c>
      <c r="F47">
        <v>118.1</v>
      </c>
      <c r="G47">
        <v>117</v>
      </c>
      <c r="H47">
        <v>125.5</v>
      </c>
      <c r="I47">
        <v>120.5</v>
      </c>
      <c r="J47">
        <v>111</v>
      </c>
      <c r="K47">
        <v>102.6</v>
      </c>
      <c r="L47">
        <v>111.2</v>
      </c>
      <c r="M47">
        <v>113.5</v>
      </c>
      <c r="N47">
        <v>118.7</v>
      </c>
      <c r="O47">
        <v>117.2</v>
      </c>
      <c r="P47">
        <v>109.7</v>
      </c>
      <c r="Q47">
        <v>118.1</v>
      </c>
      <c r="R47">
        <v>116.1</v>
      </c>
      <c r="S47">
        <v>117.8</v>
      </c>
      <c r="T47">
        <v>113.7</v>
      </c>
      <c r="U47">
        <v>139.2551</v>
      </c>
      <c r="V47">
        <v>113.4</v>
      </c>
      <c r="W47">
        <v>111.2</v>
      </c>
      <c r="X47">
        <v>110.5</v>
      </c>
      <c r="Y47">
        <v>108.9</v>
      </c>
      <c r="Z47">
        <v>111.8</v>
      </c>
      <c r="AA47">
        <v>113</v>
      </c>
      <c r="AB47">
        <v>115.4</v>
      </c>
      <c r="AC47">
        <v>111.5</v>
      </c>
      <c r="AD47">
        <v>115.4</v>
      </c>
    </row>
    <row r="48" spans="1:30" x14ac:dyDescent="0.35">
      <c r="A48" t="s">
        <v>32</v>
      </c>
      <c r="B48">
        <v>2014</v>
      </c>
      <c r="C48" t="s">
        <v>36</v>
      </c>
      <c r="D48">
        <v>122.5</v>
      </c>
      <c r="E48">
        <v>121.7</v>
      </c>
      <c r="F48">
        <v>113.3</v>
      </c>
      <c r="G48">
        <v>117</v>
      </c>
      <c r="H48">
        <v>126.7</v>
      </c>
      <c r="I48">
        <v>121.2</v>
      </c>
      <c r="J48">
        <v>111</v>
      </c>
      <c r="K48">
        <v>100.3</v>
      </c>
      <c r="L48">
        <v>115.3</v>
      </c>
      <c r="M48">
        <v>112.7</v>
      </c>
      <c r="N48">
        <v>121</v>
      </c>
      <c r="O48">
        <v>118.2</v>
      </c>
      <c r="P48">
        <v>103.1</v>
      </c>
      <c r="Q48">
        <v>116.3</v>
      </c>
      <c r="R48">
        <v>112.5</v>
      </c>
      <c r="S48">
        <v>115.7</v>
      </c>
      <c r="T48">
        <v>113.4</v>
      </c>
      <c r="U48">
        <v>113.9</v>
      </c>
      <c r="V48">
        <v>110.9</v>
      </c>
      <c r="W48">
        <v>111.2</v>
      </c>
      <c r="X48">
        <v>111.2</v>
      </c>
      <c r="Y48">
        <v>109.1</v>
      </c>
      <c r="Z48">
        <v>111</v>
      </c>
      <c r="AA48">
        <v>112.5</v>
      </c>
      <c r="AB48">
        <v>117.6</v>
      </c>
      <c r="AC48">
        <v>111.4</v>
      </c>
      <c r="AD48">
        <v>114.7</v>
      </c>
    </row>
    <row r="49" spans="1:30" x14ac:dyDescent="0.35">
      <c r="A49" t="s">
        <v>33</v>
      </c>
      <c r="B49">
        <v>2014</v>
      </c>
      <c r="C49" t="s">
        <v>36</v>
      </c>
      <c r="D49">
        <v>120.9</v>
      </c>
      <c r="E49">
        <v>119.9</v>
      </c>
      <c r="F49">
        <v>116.2</v>
      </c>
      <c r="G49">
        <v>117</v>
      </c>
      <c r="H49">
        <v>126.1</v>
      </c>
      <c r="I49">
        <v>120.7</v>
      </c>
      <c r="J49">
        <v>111</v>
      </c>
      <c r="K49">
        <v>101.8</v>
      </c>
      <c r="L49">
        <v>112.6</v>
      </c>
      <c r="M49">
        <v>113.2</v>
      </c>
      <c r="N49">
        <v>119.8</v>
      </c>
      <c r="O49">
        <v>117.6</v>
      </c>
      <c r="P49">
        <v>107.3</v>
      </c>
      <c r="Q49">
        <v>117.4</v>
      </c>
      <c r="R49">
        <v>114.6</v>
      </c>
      <c r="S49">
        <v>117</v>
      </c>
      <c r="T49">
        <v>113.6</v>
      </c>
      <c r="U49">
        <v>113.9</v>
      </c>
      <c r="V49">
        <v>112.5</v>
      </c>
      <c r="W49">
        <v>111.2</v>
      </c>
      <c r="X49">
        <v>110.9</v>
      </c>
      <c r="Y49">
        <v>109</v>
      </c>
      <c r="Z49">
        <v>111.5</v>
      </c>
      <c r="AA49">
        <v>112.7</v>
      </c>
      <c r="AB49">
        <v>116</v>
      </c>
      <c r="AC49">
        <v>111.5</v>
      </c>
      <c r="AD49">
        <v>115.1</v>
      </c>
    </row>
    <row r="50" spans="1:30" x14ac:dyDescent="0.35">
      <c r="A50" t="s">
        <v>30</v>
      </c>
      <c r="B50">
        <v>2014</v>
      </c>
      <c r="C50" t="s">
        <v>37</v>
      </c>
      <c r="D50">
        <v>120.3</v>
      </c>
      <c r="E50">
        <v>120.2</v>
      </c>
      <c r="F50">
        <v>116.9</v>
      </c>
      <c r="G50">
        <v>118</v>
      </c>
      <c r="H50">
        <v>126.3</v>
      </c>
      <c r="I50">
        <v>123.9</v>
      </c>
      <c r="J50">
        <v>111.5</v>
      </c>
      <c r="K50">
        <v>103.5</v>
      </c>
      <c r="L50">
        <v>111.6</v>
      </c>
      <c r="M50">
        <v>114.2</v>
      </c>
      <c r="N50">
        <v>119.2</v>
      </c>
      <c r="O50">
        <v>118.2</v>
      </c>
      <c r="P50">
        <v>110.1</v>
      </c>
      <c r="Q50">
        <v>118.7</v>
      </c>
      <c r="R50">
        <v>116.8</v>
      </c>
      <c r="S50">
        <v>118.5</v>
      </c>
      <c r="T50">
        <v>114.1</v>
      </c>
      <c r="U50">
        <v>139.2551</v>
      </c>
      <c r="V50">
        <v>113.4</v>
      </c>
      <c r="W50">
        <v>111.4</v>
      </c>
      <c r="X50">
        <v>110.9</v>
      </c>
      <c r="Y50">
        <v>108.9</v>
      </c>
      <c r="Z50">
        <v>112.1</v>
      </c>
      <c r="AA50">
        <v>113.1</v>
      </c>
      <c r="AB50">
        <v>116.3</v>
      </c>
      <c r="AC50">
        <v>111.8</v>
      </c>
      <c r="AD50">
        <v>116</v>
      </c>
    </row>
    <row r="51" spans="1:30" x14ac:dyDescent="0.35">
      <c r="A51" t="s">
        <v>32</v>
      </c>
      <c r="B51">
        <v>2014</v>
      </c>
      <c r="C51" t="s">
        <v>37</v>
      </c>
      <c r="D51">
        <v>122.7</v>
      </c>
      <c r="E51">
        <v>124.1</v>
      </c>
      <c r="F51">
        <v>114.2</v>
      </c>
      <c r="G51">
        <v>119.1</v>
      </c>
      <c r="H51">
        <v>129.19999999999999</v>
      </c>
      <c r="I51">
        <v>127</v>
      </c>
      <c r="J51">
        <v>112.6</v>
      </c>
      <c r="K51">
        <v>101.3</v>
      </c>
      <c r="L51">
        <v>117</v>
      </c>
      <c r="M51">
        <v>112.9</v>
      </c>
      <c r="N51">
        <v>121.7</v>
      </c>
      <c r="O51">
        <v>120</v>
      </c>
      <c r="P51">
        <v>103.5</v>
      </c>
      <c r="Q51">
        <v>116.8</v>
      </c>
      <c r="R51">
        <v>112.9</v>
      </c>
      <c r="S51">
        <v>116.2</v>
      </c>
      <c r="T51">
        <v>114.1</v>
      </c>
      <c r="U51">
        <v>114.3</v>
      </c>
      <c r="V51">
        <v>111.1</v>
      </c>
      <c r="W51">
        <v>111.3</v>
      </c>
      <c r="X51">
        <v>111.5</v>
      </c>
      <c r="Y51">
        <v>109.3</v>
      </c>
      <c r="Z51">
        <v>111.2</v>
      </c>
      <c r="AA51">
        <v>112.9</v>
      </c>
      <c r="AB51">
        <v>118.3</v>
      </c>
      <c r="AC51">
        <v>111.7</v>
      </c>
      <c r="AD51">
        <v>115.6</v>
      </c>
    </row>
    <row r="52" spans="1:30" x14ac:dyDescent="0.35">
      <c r="A52" t="s">
        <v>33</v>
      </c>
      <c r="B52">
        <v>2014</v>
      </c>
      <c r="C52" t="s">
        <v>37</v>
      </c>
      <c r="D52">
        <v>121.1</v>
      </c>
      <c r="E52">
        <v>121.6</v>
      </c>
      <c r="F52">
        <v>115.9</v>
      </c>
      <c r="G52">
        <v>118.4</v>
      </c>
      <c r="H52">
        <v>127.7</v>
      </c>
      <c r="I52">
        <v>125</v>
      </c>
      <c r="J52">
        <v>111.9</v>
      </c>
      <c r="K52">
        <v>102.8</v>
      </c>
      <c r="L52">
        <v>113.4</v>
      </c>
      <c r="M52">
        <v>113.7</v>
      </c>
      <c r="N52">
        <v>120.4</v>
      </c>
      <c r="O52">
        <v>118.9</v>
      </c>
      <c r="P52">
        <v>107.7</v>
      </c>
      <c r="Q52">
        <v>118</v>
      </c>
      <c r="R52">
        <v>115.2</v>
      </c>
      <c r="S52">
        <v>117.6</v>
      </c>
      <c r="T52">
        <v>114.1</v>
      </c>
      <c r="U52">
        <v>114.3</v>
      </c>
      <c r="V52">
        <v>112.5</v>
      </c>
      <c r="W52">
        <v>111.3</v>
      </c>
      <c r="X52">
        <v>111.2</v>
      </c>
      <c r="Y52">
        <v>109.1</v>
      </c>
      <c r="Z52">
        <v>111.8</v>
      </c>
      <c r="AA52">
        <v>113</v>
      </c>
      <c r="AB52">
        <v>116.8</v>
      </c>
      <c r="AC52">
        <v>111.8</v>
      </c>
      <c r="AD52">
        <v>115.8</v>
      </c>
    </row>
    <row r="53" spans="1:30" x14ac:dyDescent="0.35">
      <c r="A53" t="s">
        <v>30</v>
      </c>
      <c r="B53">
        <v>2014</v>
      </c>
      <c r="C53" t="s">
        <v>38</v>
      </c>
      <c r="D53">
        <v>120.7</v>
      </c>
      <c r="E53">
        <v>121.6</v>
      </c>
      <c r="F53">
        <v>116.1</v>
      </c>
      <c r="G53">
        <v>119.3</v>
      </c>
      <c r="H53">
        <v>125.8</v>
      </c>
      <c r="I53">
        <v>129.30000000000001</v>
      </c>
      <c r="J53">
        <v>112.2</v>
      </c>
      <c r="K53">
        <v>103.6</v>
      </c>
      <c r="L53">
        <v>112.3</v>
      </c>
      <c r="M53">
        <v>114.9</v>
      </c>
      <c r="N53">
        <v>120.1</v>
      </c>
      <c r="O53">
        <v>119.5</v>
      </c>
      <c r="P53">
        <v>110.3</v>
      </c>
      <c r="Q53">
        <v>119.7</v>
      </c>
      <c r="R53">
        <v>117.3</v>
      </c>
      <c r="S53">
        <v>119.3</v>
      </c>
      <c r="T53">
        <v>114.9</v>
      </c>
      <c r="U53">
        <v>139.2551</v>
      </c>
      <c r="V53">
        <v>114.4</v>
      </c>
      <c r="W53">
        <v>112.2</v>
      </c>
      <c r="X53">
        <v>111.4</v>
      </c>
      <c r="Y53">
        <v>108</v>
      </c>
      <c r="Z53">
        <v>112.8</v>
      </c>
      <c r="AA53">
        <v>114.3</v>
      </c>
      <c r="AB53">
        <v>117.3</v>
      </c>
      <c r="AC53">
        <v>112.3</v>
      </c>
      <c r="AD53">
        <v>117</v>
      </c>
    </row>
    <row r="54" spans="1:30" x14ac:dyDescent="0.35">
      <c r="A54" t="s">
        <v>32</v>
      </c>
      <c r="B54">
        <v>2014</v>
      </c>
      <c r="C54" t="s">
        <v>38</v>
      </c>
      <c r="D54">
        <v>123.1</v>
      </c>
      <c r="E54">
        <v>125.9</v>
      </c>
      <c r="F54">
        <v>115.4</v>
      </c>
      <c r="G54">
        <v>120.4</v>
      </c>
      <c r="H54">
        <v>131.19999999999999</v>
      </c>
      <c r="I54">
        <v>137.5</v>
      </c>
      <c r="J54">
        <v>112.8</v>
      </c>
      <c r="K54">
        <v>101.4</v>
      </c>
      <c r="L54">
        <v>118.3</v>
      </c>
      <c r="M54">
        <v>113.2</v>
      </c>
      <c r="N54">
        <v>122.4</v>
      </c>
      <c r="O54">
        <v>122</v>
      </c>
      <c r="P54">
        <v>103.4</v>
      </c>
      <c r="Q54">
        <v>117.4</v>
      </c>
      <c r="R54">
        <v>113.2</v>
      </c>
      <c r="S54">
        <v>116.7</v>
      </c>
      <c r="T54">
        <v>114.3</v>
      </c>
      <c r="U54">
        <v>113.9</v>
      </c>
      <c r="V54">
        <v>111.2</v>
      </c>
      <c r="W54">
        <v>111.5</v>
      </c>
      <c r="X54">
        <v>111.8</v>
      </c>
      <c r="Y54">
        <v>108.7</v>
      </c>
      <c r="Z54">
        <v>111.4</v>
      </c>
      <c r="AA54">
        <v>115.1</v>
      </c>
      <c r="AB54">
        <v>119</v>
      </c>
      <c r="AC54">
        <v>112.2</v>
      </c>
      <c r="AD54">
        <v>116.4</v>
      </c>
    </row>
    <row r="55" spans="1:30" x14ac:dyDescent="0.35">
      <c r="A55" t="s">
        <v>33</v>
      </c>
      <c r="B55">
        <v>2014</v>
      </c>
      <c r="C55" t="s">
        <v>38</v>
      </c>
      <c r="D55">
        <v>121.5</v>
      </c>
      <c r="E55">
        <v>123.1</v>
      </c>
      <c r="F55">
        <v>115.8</v>
      </c>
      <c r="G55">
        <v>119.7</v>
      </c>
      <c r="H55">
        <v>128.30000000000001</v>
      </c>
      <c r="I55">
        <v>132.1</v>
      </c>
      <c r="J55">
        <v>112.4</v>
      </c>
      <c r="K55">
        <v>102.9</v>
      </c>
      <c r="L55">
        <v>114.3</v>
      </c>
      <c r="M55">
        <v>114.2</v>
      </c>
      <c r="N55">
        <v>121.2</v>
      </c>
      <c r="O55">
        <v>120.4</v>
      </c>
      <c r="P55">
        <v>107.8</v>
      </c>
      <c r="Q55">
        <v>118.8</v>
      </c>
      <c r="R55">
        <v>115.6</v>
      </c>
      <c r="S55">
        <v>118.3</v>
      </c>
      <c r="T55">
        <v>114.6</v>
      </c>
      <c r="U55">
        <v>113.9</v>
      </c>
      <c r="V55">
        <v>113.2</v>
      </c>
      <c r="W55">
        <v>111.8</v>
      </c>
      <c r="X55">
        <v>111.6</v>
      </c>
      <c r="Y55">
        <v>108.3</v>
      </c>
      <c r="Z55">
        <v>112.3</v>
      </c>
      <c r="AA55">
        <v>114.8</v>
      </c>
      <c r="AB55">
        <v>117.8</v>
      </c>
      <c r="AC55">
        <v>112.3</v>
      </c>
      <c r="AD55">
        <v>116.7</v>
      </c>
    </row>
    <row r="56" spans="1:30" x14ac:dyDescent="0.35">
      <c r="A56" t="s">
        <v>30</v>
      </c>
      <c r="B56">
        <v>2014</v>
      </c>
      <c r="C56" t="s">
        <v>39</v>
      </c>
      <c r="D56">
        <v>121.7</v>
      </c>
      <c r="E56">
        <v>122.5</v>
      </c>
      <c r="F56">
        <v>117.7</v>
      </c>
      <c r="G56">
        <v>120.6</v>
      </c>
      <c r="H56">
        <v>129.1</v>
      </c>
      <c r="I56">
        <v>150.1</v>
      </c>
      <c r="J56">
        <v>113.2</v>
      </c>
      <c r="K56">
        <v>104.8</v>
      </c>
      <c r="L56">
        <v>113.3</v>
      </c>
      <c r="M56">
        <v>115.6</v>
      </c>
      <c r="N56">
        <v>120.9</v>
      </c>
      <c r="O56">
        <v>123.3</v>
      </c>
      <c r="P56">
        <v>110.4</v>
      </c>
      <c r="Q56">
        <v>120.7</v>
      </c>
      <c r="R56">
        <v>118.3</v>
      </c>
      <c r="S56">
        <v>120.3</v>
      </c>
      <c r="T56">
        <v>115.4</v>
      </c>
      <c r="U56">
        <v>139.2551</v>
      </c>
      <c r="V56">
        <v>115.3</v>
      </c>
      <c r="W56">
        <v>113.2</v>
      </c>
      <c r="X56">
        <v>111.8</v>
      </c>
      <c r="Y56">
        <v>108.8</v>
      </c>
      <c r="Z56">
        <v>113.4</v>
      </c>
      <c r="AA56">
        <v>115.5</v>
      </c>
      <c r="AB56">
        <v>118</v>
      </c>
      <c r="AC56">
        <v>113.1</v>
      </c>
      <c r="AD56">
        <v>119.5</v>
      </c>
    </row>
    <row r="57" spans="1:30" x14ac:dyDescent="0.35">
      <c r="A57" t="s">
        <v>32</v>
      </c>
      <c r="B57">
        <v>2014</v>
      </c>
      <c r="C57" t="s">
        <v>39</v>
      </c>
      <c r="D57">
        <v>123.8</v>
      </c>
      <c r="E57">
        <v>126.4</v>
      </c>
      <c r="F57">
        <v>118</v>
      </c>
      <c r="G57">
        <v>121.6</v>
      </c>
      <c r="H57">
        <v>133.69999999999999</v>
      </c>
      <c r="I57">
        <v>172.4</v>
      </c>
      <c r="J57">
        <v>113.1</v>
      </c>
      <c r="K57">
        <v>102.7</v>
      </c>
      <c r="L57">
        <v>120</v>
      </c>
      <c r="M57">
        <v>113.8</v>
      </c>
      <c r="N57">
        <v>123.4</v>
      </c>
      <c r="O57">
        <v>127.1</v>
      </c>
      <c r="P57">
        <v>103.5</v>
      </c>
      <c r="Q57">
        <v>118</v>
      </c>
      <c r="R57">
        <v>113.6</v>
      </c>
      <c r="S57">
        <v>117.4</v>
      </c>
      <c r="T57">
        <v>114.9</v>
      </c>
      <c r="U57">
        <v>114.8</v>
      </c>
      <c r="V57">
        <v>111.6</v>
      </c>
      <c r="W57">
        <v>113</v>
      </c>
      <c r="X57">
        <v>112.4</v>
      </c>
      <c r="Y57">
        <v>109.7</v>
      </c>
      <c r="Z57">
        <v>111.5</v>
      </c>
      <c r="AA57">
        <v>117.8</v>
      </c>
      <c r="AB57">
        <v>121</v>
      </c>
      <c r="AC57">
        <v>113.5</v>
      </c>
      <c r="AD57">
        <v>118.9</v>
      </c>
    </row>
    <row r="58" spans="1:30" x14ac:dyDescent="0.35">
      <c r="A58" t="s">
        <v>33</v>
      </c>
      <c r="B58">
        <v>2014</v>
      </c>
      <c r="C58" t="s">
        <v>39</v>
      </c>
      <c r="D58">
        <v>122.4</v>
      </c>
      <c r="E58">
        <v>123.9</v>
      </c>
      <c r="F58">
        <v>117.8</v>
      </c>
      <c r="G58">
        <v>121</v>
      </c>
      <c r="H58">
        <v>131.19999999999999</v>
      </c>
      <c r="I58">
        <v>157.69999999999999</v>
      </c>
      <c r="J58">
        <v>113.2</v>
      </c>
      <c r="K58">
        <v>104.1</v>
      </c>
      <c r="L58">
        <v>115.5</v>
      </c>
      <c r="M58">
        <v>114.8</v>
      </c>
      <c r="N58">
        <v>122.1</v>
      </c>
      <c r="O58">
        <v>124.7</v>
      </c>
      <c r="P58">
        <v>107.9</v>
      </c>
      <c r="Q58">
        <v>119.6</v>
      </c>
      <c r="R58">
        <v>116.3</v>
      </c>
      <c r="S58">
        <v>119.1</v>
      </c>
      <c r="T58">
        <v>115.2</v>
      </c>
      <c r="U58">
        <v>114.8</v>
      </c>
      <c r="V58">
        <v>113.9</v>
      </c>
      <c r="W58">
        <v>113.1</v>
      </c>
      <c r="X58">
        <v>112.1</v>
      </c>
      <c r="Y58">
        <v>109.2</v>
      </c>
      <c r="Z58">
        <v>112.7</v>
      </c>
      <c r="AA58">
        <v>116.8</v>
      </c>
      <c r="AB58">
        <v>118.8</v>
      </c>
      <c r="AC58">
        <v>113.3</v>
      </c>
      <c r="AD58">
        <v>119.2</v>
      </c>
    </row>
    <row r="59" spans="1:30" x14ac:dyDescent="0.35">
      <c r="A59" t="s">
        <v>30</v>
      </c>
      <c r="B59">
        <v>2014</v>
      </c>
      <c r="C59" t="s">
        <v>40</v>
      </c>
      <c r="D59">
        <v>121.8</v>
      </c>
      <c r="E59">
        <v>122.8</v>
      </c>
      <c r="F59">
        <v>117.8</v>
      </c>
      <c r="G59">
        <v>121.9</v>
      </c>
      <c r="H59">
        <v>129.69999999999999</v>
      </c>
      <c r="I59">
        <v>161.1</v>
      </c>
      <c r="J59">
        <v>114.1</v>
      </c>
      <c r="K59">
        <v>105.1</v>
      </c>
      <c r="L59">
        <v>114.6</v>
      </c>
      <c r="M59">
        <v>115.8</v>
      </c>
      <c r="N59">
        <v>121.7</v>
      </c>
      <c r="O59">
        <v>125.3</v>
      </c>
      <c r="P59">
        <v>110.6</v>
      </c>
      <c r="Q59">
        <v>120.9</v>
      </c>
      <c r="R59">
        <v>118.8</v>
      </c>
      <c r="S59">
        <v>120.7</v>
      </c>
      <c r="T59">
        <v>115.9</v>
      </c>
      <c r="U59">
        <v>139.2551</v>
      </c>
      <c r="V59">
        <v>115.4</v>
      </c>
      <c r="W59">
        <v>113.2</v>
      </c>
      <c r="X59">
        <v>112.2</v>
      </c>
      <c r="Y59">
        <v>109.4</v>
      </c>
      <c r="Z59">
        <v>114</v>
      </c>
      <c r="AA59">
        <v>116.2</v>
      </c>
      <c r="AB59">
        <v>118.8</v>
      </c>
      <c r="AC59">
        <v>113.5</v>
      </c>
      <c r="AD59">
        <v>120.7</v>
      </c>
    </row>
    <row r="60" spans="1:30" x14ac:dyDescent="0.35">
      <c r="A60" t="s">
        <v>32</v>
      </c>
      <c r="B60">
        <v>2014</v>
      </c>
      <c r="C60" t="s">
        <v>40</v>
      </c>
      <c r="D60">
        <v>124.8</v>
      </c>
      <c r="E60">
        <v>127.3</v>
      </c>
      <c r="F60">
        <v>116.5</v>
      </c>
      <c r="G60">
        <v>122.2</v>
      </c>
      <c r="H60">
        <v>132.69999999999999</v>
      </c>
      <c r="I60">
        <v>181.9</v>
      </c>
      <c r="J60">
        <v>115.2</v>
      </c>
      <c r="K60">
        <v>102.7</v>
      </c>
      <c r="L60">
        <v>122.1</v>
      </c>
      <c r="M60">
        <v>114.4</v>
      </c>
      <c r="N60">
        <v>124.7</v>
      </c>
      <c r="O60">
        <v>128.9</v>
      </c>
      <c r="P60">
        <v>103.6</v>
      </c>
      <c r="Q60">
        <v>118.6</v>
      </c>
      <c r="R60">
        <v>114.1</v>
      </c>
      <c r="S60">
        <v>117.9</v>
      </c>
      <c r="T60">
        <v>115.3</v>
      </c>
      <c r="U60">
        <v>115.5</v>
      </c>
      <c r="V60">
        <v>111.8</v>
      </c>
      <c r="W60">
        <v>112.5</v>
      </c>
      <c r="X60">
        <v>112.9</v>
      </c>
      <c r="Y60">
        <v>110.5</v>
      </c>
      <c r="Z60">
        <v>112.2</v>
      </c>
      <c r="AA60">
        <v>119.2</v>
      </c>
      <c r="AB60">
        <v>123</v>
      </c>
      <c r="AC60">
        <v>113.9</v>
      </c>
      <c r="AD60">
        <v>119.9</v>
      </c>
    </row>
    <row r="61" spans="1:30" x14ac:dyDescent="0.35">
      <c r="A61" t="s">
        <v>33</v>
      </c>
      <c r="B61">
        <v>2014</v>
      </c>
      <c r="C61" t="s">
        <v>40</v>
      </c>
      <c r="D61">
        <v>122.7</v>
      </c>
      <c r="E61">
        <v>124.4</v>
      </c>
      <c r="F61">
        <v>117.3</v>
      </c>
      <c r="G61">
        <v>122</v>
      </c>
      <c r="H61">
        <v>131.1</v>
      </c>
      <c r="I61">
        <v>168.2</v>
      </c>
      <c r="J61">
        <v>114.5</v>
      </c>
      <c r="K61">
        <v>104.3</v>
      </c>
      <c r="L61">
        <v>117.1</v>
      </c>
      <c r="M61">
        <v>115.2</v>
      </c>
      <c r="N61">
        <v>123.1</v>
      </c>
      <c r="O61">
        <v>126.6</v>
      </c>
      <c r="P61">
        <v>108</v>
      </c>
      <c r="Q61">
        <v>120</v>
      </c>
      <c r="R61">
        <v>116.8</v>
      </c>
      <c r="S61">
        <v>119.6</v>
      </c>
      <c r="T61">
        <v>115.6</v>
      </c>
      <c r="U61">
        <v>115.5</v>
      </c>
      <c r="V61">
        <v>114</v>
      </c>
      <c r="W61">
        <v>112.8</v>
      </c>
      <c r="X61">
        <v>112.6</v>
      </c>
      <c r="Y61">
        <v>109.9</v>
      </c>
      <c r="Z61">
        <v>113.3</v>
      </c>
      <c r="AA61">
        <v>118</v>
      </c>
      <c r="AB61">
        <v>119.9</v>
      </c>
      <c r="AC61">
        <v>113.7</v>
      </c>
      <c r="AD61">
        <v>120.3</v>
      </c>
    </row>
    <row r="62" spans="1:30" x14ac:dyDescent="0.35">
      <c r="A62" t="s">
        <v>30</v>
      </c>
      <c r="B62">
        <v>2014</v>
      </c>
      <c r="C62" t="s">
        <v>41</v>
      </c>
      <c r="D62">
        <v>122.3</v>
      </c>
      <c r="E62">
        <v>122.4</v>
      </c>
      <c r="F62">
        <v>117.8</v>
      </c>
      <c r="G62">
        <v>122.7</v>
      </c>
      <c r="H62">
        <v>129.80000000000001</v>
      </c>
      <c r="I62">
        <v>158.80000000000001</v>
      </c>
      <c r="J62">
        <v>115</v>
      </c>
      <c r="K62">
        <v>104.7</v>
      </c>
      <c r="L62">
        <v>114.9</v>
      </c>
      <c r="M62">
        <v>116.5</v>
      </c>
      <c r="N62">
        <v>122.6</v>
      </c>
      <c r="O62">
        <v>125.3</v>
      </c>
      <c r="P62">
        <v>110.4</v>
      </c>
      <c r="Q62">
        <v>121.7</v>
      </c>
      <c r="R62">
        <v>119.2</v>
      </c>
      <c r="S62">
        <v>121.3</v>
      </c>
      <c r="T62">
        <v>116.7</v>
      </c>
      <c r="U62">
        <v>139.2551</v>
      </c>
      <c r="V62">
        <v>115.8</v>
      </c>
      <c r="W62">
        <v>112.8</v>
      </c>
      <c r="X62">
        <v>112.6</v>
      </c>
      <c r="Y62">
        <v>109.1</v>
      </c>
      <c r="Z62">
        <v>114.5</v>
      </c>
      <c r="AA62">
        <v>116.6</v>
      </c>
      <c r="AB62">
        <v>119.5</v>
      </c>
      <c r="AC62">
        <v>113.7</v>
      </c>
      <c r="AD62">
        <v>120.9</v>
      </c>
    </row>
    <row r="63" spans="1:30" x14ac:dyDescent="0.35">
      <c r="A63" t="s">
        <v>32</v>
      </c>
      <c r="B63">
        <v>2014</v>
      </c>
      <c r="C63" t="s">
        <v>41</v>
      </c>
      <c r="D63">
        <v>124.2</v>
      </c>
      <c r="E63">
        <v>125.4</v>
      </c>
      <c r="F63">
        <v>116.4</v>
      </c>
      <c r="G63">
        <v>122.7</v>
      </c>
      <c r="H63">
        <v>124.5</v>
      </c>
      <c r="I63">
        <v>168.6</v>
      </c>
      <c r="J63">
        <v>116.9</v>
      </c>
      <c r="K63">
        <v>101.9</v>
      </c>
      <c r="L63">
        <v>122.9</v>
      </c>
      <c r="M63">
        <v>114.8</v>
      </c>
      <c r="N63">
        <v>125.2</v>
      </c>
      <c r="O63">
        <v>126.7</v>
      </c>
      <c r="P63">
        <v>103.5</v>
      </c>
      <c r="Q63">
        <v>119.2</v>
      </c>
      <c r="R63">
        <v>114.5</v>
      </c>
      <c r="S63">
        <v>118.4</v>
      </c>
      <c r="T63">
        <v>115.5</v>
      </c>
      <c r="U63">
        <v>116.1</v>
      </c>
      <c r="V63">
        <v>111.8</v>
      </c>
      <c r="W63">
        <v>111.2</v>
      </c>
      <c r="X63">
        <v>113.4</v>
      </c>
      <c r="Y63">
        <v>110</v>
      </c>
      <c r="Z63">
        <v>112.3</v>
      </c>
      <c r="AA63">
        <v>120</v>
      </c>
      <c r="AB63">
        <v>124.3</v>
      </c>
      <c r="AC63">
        <v>113.6</v>
      </c>
      <c r="AD63">
        <v>119.2</v>
      </c>
    </row>
    <row r="64" spans="1:30" x14ac:dyDescent="0.35">
      <c r="A64" t="s">
        <v>33</v>
      </c>
      <c r="B64">
        <v>2014</v>
      </c>
      <c r="C64" t="s">
        <v>41</v>
      </c>
      <c r="D64">
        <v>122.9</v>
      </c>
      <c r="E64">
        <v>123.5</v>
      </c>
      <c r="F64">
        <v>117.3</v>
      </c>
      <c r="G64">
        <v>122.7</v>
      </c>
      <c r="H64">
        <v>127.3</v>
      </c>
      <c r="I64">
        <v>162.1</v>
      </c>
      <c r="J64">
        <v>115.6</v>
      </c>
      <c r="K64">
        <v>103.8</v>
      </c>
      <c r="L64">
        <v>117.6</v>
      </c>
      <c r="M64">
        <v>115.8</v>
      </c>
      <c r="N64">
        <v>123.8</v>
      </c>
      <c r="O64">
        <v>125.8</v>
      </c>
      <c r="P64">
        <v>107.9</v>
      </c>
      <c r="Q64">
        <v>120.7</v>
      </c>
      <c r="R64">
        <v>117.2</v>
      </c>
      <c r="S64">
        <v>120.1</v>
      </c>
      <c r="T64">
        <v>116.1</v>
      </c>
      <c r="U64">
        <v>116.1</v>
      </c>
      <c r="V64">
        <v>114.3</v>
      </c>
      <c r="W64">
        <v>112</v>
      </c>
      <c r="X64">
        <v>113.1</v>
      </c>
      <c r="Y64">
        <v>109.5</v>
      </c>
      <c r="Z64">
        <v>113.7</v>
      </c>
      <c r="AA64">
        <v>118.6</v>
      </c>
      <c r="AB64">
        <v>120.8</v>
      </c>
      <c r="AC64">
        <v>113.7</v>
      </c>
      <c r="AD64">
        <v>120.1</v>
      </c>
    </row>
    <row r="65" spans="1:30" x14ac:dyDescent="0.35">
      <c r="A65" t="s">
        <v>30</v>
      </c>
      <c r="B65">
        <v>2014</v>
      </c>
      <c r="C65" t="s">
        <v>42</v>
      </c>
      <c r="D65">
        <v>122.6</v>
      </c>
      <c r="E65">
        <v>122.5</v>
      </c>
      <c r="F65">
        <v>118.3</v>
      </c>
      <c r="G65">
        <v>123.2</v>
      </c>
      <c r="H65">
        <v>128.9</v>
      </c>
      <c r="I65">
        <v>155.30000000000001</v>
      </c>
      <c r="J65">
        <v>115.5</v>
      </c>
      <c r="K65">
        <v>104</v>
      </c>
      <c r="L65">
        <v>115.3</v>
      </c>
      <c r="M65">
        <v>116.8</v>
      </c>
      <c r="N65">
        <v>123.2</v>
      </c>
      <c r="O65">
        <v>125.1</v>
      </c>
      <c r="P65">
        <v>110.5</v>
      </c>
      <c r="Q65">
        <v>122.7</v>
      </c>
      <c r="R65">
        <v>120.3</v>
      </c>
      <c r="S65">
        <v>122.3</v>
      </c>
      <c r="T65">
        <v>117.5</v>
      </c>
      <c r="U65">
        <v>139.2551</v>
      </c>
      <c r="V65">
        <v>116.4</v>
      </c>
      <c r="W65">
        <v>112.6</v>
      </c>
      <c r="X65">
        <v>113</v>
      </c>
      <c r="Y65">
        <v>109.3</v>
      </c>
      <c r="Z65">
        <v>115.3</v>
      </c>
      <c r="AA65">
        <v>116.9</v>
      </c>
      <c r="AB65">
        <v>120</v>
      </c>
      <c r="AC65">
        <v>114</v>
      </c>
      <c r="AD65">
        <v>121</v>
      </c>
    </row>
    <row r="66" spans="1:30" x14ac:dyDescent="0.35">
      <c r="A66" t="s">
        <v>32</v>
      </c>
      <c r="B66">
        <v>2014</v>
      </c>
      <c r="C66" t="s">
        <v>42</v>
      </c>
      <c r="D66">
        <v>124.6</v>
      </c>
      <c r="E66">
        <v>126.1</v>
      </c>
      <c r="F66">
        <v>117.8</v>
      </c>
      <c r="G66">
        <v>123.1</v>
      </c>
      <c r="H66">
        <v>123.5</v>
      </c>
      <c r="I66">
        <v>159.6</v>
      </c>
      <c r="J66">
        <v>117.4</v>
      </c>
      <c r="K66">
        <v>101.2</v>
      </c>
      <c r="L66">
        <v>123.8</v>
      </c>
      <c r="M66">
        <v>115.2</v>
      </c>
      <c r="N66">
        <v>125.9</v>
      </c>
      <c r="O66">
        <v>125.8</v>
      </c>
      <c r="P66">
        <v>103.5</v>
      </c>
      <c r="Q66">
        <v>119.6</v>
      </c>
      <c r="R66">
        <v>114.9</v>
      </c>
      <c r="S66">
        <v>118.9</v>
      </c>
      <c r="T66">
        <v>115.8</v>
      </c>
      <c r="U66">
        <v>116.7</v>
      </c>
      <c r="V66">
        <v>112</v>
      </c>
      <c r="W66">
        <v>111</v>
      </c>
      <c r="X66">
        <v>113.6</v>
      </c>
      <c r="Y66">
        <v>110.1</v>
      </c>
      <c r="Z66">
        <v>112.6</v>
      </c>
      <c r="AA66">
        <v>120.2</v>
      </c>
      <c r="AB66">
        <v>124.3</v>
      </c>
      <c r="AC66">
        <v>113.7</v>
      </c>
      <c r="AD66">
        <v>119.1</v>
      </c>
    </row>
    <row r="67" spans="1:30" x14ac:dyDescent="0.35">
      <c r="A67" t="s">
        <v>33</v>
      </c>
      <c r="B67">
        <v>2014</v>
      </c>
      <c r="C67" t="s">
        <v>42</v>
      </c>
      <c r="D67">
        <v>123.2</v>
      </c>
      <c r="E67">
        <v>123.8</v>
      </c>
      <c r="F67">
        <v>118.1</v>
      </c>
      <c r="G67">
        <v>123.2</v>
      </c>
      <c r="H67">
        <v>126.4</v>
      </c>
      <c r="I67">
        <v>156.80000000000001</v>
      </c>
      <c r="J67">
        <v>116.1</v>
      </c>
      <c r="K67">
        <v>103.1</v>
      </c>
      <c r="L67">
        <v>118.1</v>
      </c>
      <c r="M67">
        <v>116.1</v>
      </c>
      <c r="N67">
        <v>124.5</v>
      </c>
      <c r="O67">
        <v>125.4</v>
      </c>
      <c r="P67">
        <v>107.9</v>
      </c>
      <c r="Q67">
        <v>121.5</v>
      </c>
      <c r="R67">
        <v>118.1</v>
      </c>
      <c r="S67">
        <v>121</v>
      </c>
      <c r="T67">
        <v>116.7</v>
      </c>
      <c r="U67">
        <v>116.7</v>
      </c>
      <c r="V67">
        <v>114.7</v>
      </c>
      <c r="W67">
        <v>111.8</v>
      </c>
      <c r="X67">
        <v>113.3</v>
      </c>
      <c r="Y67">
        <v>109.6</v>
      </c>
      <c r="Z67">
        <v>114.3</v>
      </c>
      <c r="AA67">
        <v>118.8</v>
      </c>
      <c r="AB67">
        <v>121.1</v>
      </c>
      <c r="AC67">
        <v>113.9</v>
      </c>
      <c r="AD67">
        <v>120.1</v>
      </c>
    </row>
    <row r="68" spans="1:30" x14ac:dyDescent="0.35">
      <c r="A68" t="s">
        <v>30</v>
      </c>
      <c r="B68">
        <v>2014</v>
      </c>
      <c r="C68" t="s">
        <v>44</v>
      </c>
      <c r="D68">
        <v>122.7</v>
      </c>
      <c r="E68">
        <v>122.6</v>
      </c>
      <c r="F68">
        <v>119.9</v>
      </c>
      <c r="G68">
        <v>124</v>
      </c>
      <c r="H68">
        <v>128.80000000000001</v>
      </c>
      <c r="I68">
        <v>152</v>
      </c>
      <c r="J68">
        <v>116.2</v>
      </c>
      <c r="K68">
        <v>103.3</v>
      </c>
      <c r="L68">
        <v>115.8</v>
      </c>
      <c r="M68">
        <v>116.8</v>
      </c>
      <c r="N68">
        <v>124.5</v>
      </c>
      <c r="O68">
        <v>124.9</v>
      </c>
      <c r="P68">
        <v>110.5</v>
      </c>
      <c r="Q68">
        <v>123.3</v>
      </c>
      <c r="R68">
        <v>120.5</v>
      </c>
      <c r="S68">
        <v>122.9</v>
      </c>
      <c r="T68">
        <v>118.1</v>
      </c>
      <c r="U68">
        <v>139.2551</v>
      </c>
      <c r="V68">
        <v>117.3</v>
      </c>
      <c r="W68">
        <v>112</v>
      </c>
      <c r="X68">
        <v>113.3</v>
      </c>
      <c r="Y68">
        <v>108.8</v>
      </c>
      <c r="Z68">
        <v>115.9</v>
      </c>
      <c r="AA68">
        <v>117.2</v>
      </c>
      <c r="AB68">
        <v>120.8</v>
      </c>
      <c r="AC68">
        <v>114.1</v>
      </c>
      <c r="AD68">
        <v>121.1</v>
      </c>
    </row>
    <row r="69" spans="1:30" x14ac:dyDescent="0.35">
      <c r="A69" t="s">
        <v>32</v>
      </c>
      <c r="B69">
        <v>2014</v>
      </c>
      <c r="C69" t="s">
        <v>44</v>
      </c>
      <c r="D69">
        <v>124.5</v>
      </c>
      <c r="E69">
        <v>125.6</v>
      </c>
      <c r="F69">
        <v>122.7</v>
      </c>
      <c r="G69">
        <v>124.6</v>
      </c>
      <c r="H69">
        <v>122.2</v>
      </c>
      <c r="I69">
        <v>153.19999999999999</v>
      </c>
      <c r="J69">
        <v>119.3</v>
      </c>
      <c r="K69">
        <v>99.8</v>
      </c>
      <c r="L69">
        <v>124.6</v>
      </c>
      <c r="M69">
        <v>115.8</v>
      </c>
      <c r="N69">
        <v>126.9</v>
      </c>
      <c r="O69">
        <v>125.4</v>
      </c>
      <c r="P69">
        <v>103.2</v>
      </c>
      <c r="Q69">
        <v>120.3</v>
      </c>
      <c r="R69">
        <v>115.4</v>
      </c>
      <c r="S69">
        <v>119.5</v>
      </c>
      <c r="T69">
        <v>116.4</v>
      </c>
      <c r="U69">
        <v>117.1</v>
      </c>
      <c r="V69">
        <v>112.6</v>
      </c>
      <c r="W69">
        <v>109.7</v>
      </c>
      <c r="X69">
        <v>114</v>
      </c>
      <c r="Y69">
        <v>109.6</v>
      </c>
      <c r="Z69">
        <v>113</v>
      </c>
      <c r="AA69">
        <v>120.3</v>
      </c>
      <c r="AB69">
        <v>125.8</v>
      </c>
      <c r="AC69">
        <v>113.4</v>
      </c>
      <c r="AD69">
        <v>119</v>
      </c>
    </row>
    <row r="70" spans="1:30" x14ac:dyDescent="0.35">
      <c r="A70" t="s">
        <v>33</v>
      </c>
      <c r="B70">
        <v>2014</v>
      </c>
      <c r="C70" t="s">
        <v>44</v>
      </c>
      <c r="D70">
        <v>123.3</v>
      </c>
      <c r="E70">
        <v>123.7</v>
      </c>
      <c r="F70">
        <v>121</v>
      </c>
      <c r="G70">
        <v>124.2</v>
      </c>
      <c r="H70">
        <v>125.7</v>
      </c>
      <c r="I70">
        <v>152.4</v>
      </c>
      <c r="J70">
        <v>117.2</v>
      </c>
      <c r="K70">
        <v>102.1</v>
      </c>
      <c r="L70">
        <v>118.7</v>
      </c>
      <c r="M70">
        <v>116.4</v>
      </c>
      <c r="N70">
        <v>125.6</v>
      </c>
      <c r="O70">
        <v>125.1</v>
      </c>
      <c r="P70">
        <v>107.8</v>
      </c>
      <c r="Q70">
        <v>122.1</v>
      </c>
      <c r="R70">
        <v>118.4</v>
      </c>
      <c r="S70">
        <v>121.6</v>
      </c>
      <c r="T70">
        <v>117.3</v>
      </c>
      <c r="U70">
        <v>117.1</v>
      </c>
      <c r="V70">
        <v>115.5</v>
      </c>
      <c r="W70">
        <v>110.8</v>
      </c>
      <c r="X70">
        <v>113.7</v>
      </c>
      <c r="Y70">
        <v>109.1</v>
      </c>
      <c r="Z70">
        <v>114.8</v>
      </c>
      <c r="AA70">
        <v>119</v>
      </c>
      <c r="AB70">
        <v>122.1</v>
      </c>
      <c r="AC70">
        <v>113.8</v>
      </c>
      <c r="AD70">
        <v>120.1</v>
      </c>
    </row>
    <row r="71" spans="1:30" x14ac:dyDescent="0.35">
      <c r="A71" t="s">
        <v>30</v>
      </c>
      <c r="B71">
        <v>2014</v>
      </c>
      <c r="C71" t="s">
        <v>45</v>
      </c>
      <c r="D71">
        <v>122.4</v>
      </c>
      <c r="E71">
        <v>122.4</v>
      </c>
      <c r="F71">
        <v>121.8</v>
      </c>
      <c r="G71">
        <v>124.2</v>
      </c>
      <c r="H71">
        <v>128.6</v>
      </c>
      <c r="I71">
        <v>140.30000000000001</v>
      </c>
      <c r="J71">
        <v>116.3</v>
      </c>
      <c r="K71">
        <v>102</v>
      </c>
      <c r="L71">
        <v>116</v>
      </c>
      <c r="M71">
        <v>117.3</v>
      </c>
      <c r="N71">
        <v>124.8</v>
      </c>
      <c r="O71">
        <v>123.3</v>
      </c>
      <c r="P71">
        <v>110.2</v>
      </c>
      <c r="Q71">
        <v>123.8</v>
      </c>
      <c r="R71">
        <v>120.6</v>
      </c>
      <c r="S71">
        <v>123.3</v>
      </c>
      <c r="T71">
        <v>118.2</v>
      </c>
      <c r="U71">
        <v>139.2551</v>
      </c>
      <c r="V71">
        <v>117.4</v>
      </c>
      <c r="W71">
        <v>111.5</v>
      </c>
      <c r="X71">
        <v>113.3</v>
      </c>
      <c r="Y71">
        <v>109.4</v>
      </c>
      <c r="Z71">
        <v>116.2</v>
      </c>
      <c r="AA71">
        <v>117.7</v>
      </c>
      <c r="AB71">
        <v>121.7</v>
      </c>
      <c r="AC71">
        <v>114.2</v>
      </c>
      <c r="AD71">
        <v>120.3</v>
      </c>
    </row>
    <row r="72" spans="1:30" x14ac:dyDescent="0.35">
      <c r="A72" t="s">
        <v>32</v>
      </c>
      <c r="B72">
        <v>2014</v>
      </c>
      <c r="C72" t="s">
        <v>45</v>
      </c>
      <c r="D72">
        <v>124</v>
      </c>
      <c r="E72">
        <v>124.7</v>
      </c>
      <c r="F72">
        <v>126.3</v>
      </c>
      <c r="G72">
        <v>124.9</v>
      </c>
      <c r="H72">
        <v>122.3</v>
      </c>
      <c r="I72">
        <v>141</v>
      </c>
      <c r="J72">
        <v>120.1</v>
      </c>
      <c r="K72">
        <v>97.8</v>
      </c>
      <c r="L72">
        <v>125.4</v>
      </c>
      <c r="M72">
        <v>116.1</v>
      </c>
      <c r="N72">
        <v>127.6</v>
      </c>
      <c r="O72">
        <v>124</v>
      </c>
      <c r="P72">
        <v>103</v>
      </c>
      <c r="Q72">
        <v>120.7</v>
      </c>
      <c r="R72">
        <v>115.8</v>
      </c>
      <c r="S72">
        <v>120</v>
      </c>
      <c r="T72">
        <v>116.8</v>
      </c>
      <c r="U72">
        <v>116.5</v>
      </c>
      <c r="V72">
        <v>113</v>
      </c>
      <c r="W72">
        <v>108.8</v>
      </c>
      <c r="X72">
        <v>114.3</v>
      </c>
      <c r="Y72">
        <v>110.4</v>
      </c>
      <c r="Z72">
        <v>113.2</v>
      </c>
      <c r="AA72">
        <v>120.7</v>
      </c>
      <c r="AB72">
        <v>126.4</v>
      </c>
      <c r="AC72">
        <v>113.4</v>
      </c>
      <c r="AD72">
        <v>118.4</v>
      </c>
    </row>
    <row r="73" spans="1:30" x14ac:dyDescent="0.35">
      <c r="A73" t="s">
        <v>33</v>
      </c>
      <c r="B73">
        <v>2014</v>
      </c>
      <c r="C73" t="s">
        <v>45</v>
      </c>
      <c r="D73">
        <v>122.9</v>
      </c>
      <c r="E73">
        <v>123.2</v>
      </c>
      <c r="F73">
        <v>123.5</v>
      </c>
      <c r="G73">
        <v>124.5</v>
      </c>
      <c r="H73">
        <v>125.7</v>
      </c>
      <c r="I73">
        <v>140.5</v>
      </c>
      <c r="J73">
        <v>117.6</v>
      </c>
      <c r="K73">
        <v>100.6</v>
      </c>
      <c r="L73">
        <v>119.1</v>
      </c>
      <c r="M73">
        <v>116.8</v>
      </c>
      <c r="N73">
        <v>126.1</v>
      </c>
      <c r="O73">
        <v>123.6</v>
      </c>
      <c r="P73">
        <v>107.6</v>
      </c>
      <c r="Q73">
        <v>122.6</v>
      </c>
      <c r="R73">
        <v>118.6</v>
      </c>
      <c r="S73">
        <v>122</v>
      </c>
      <c r="T73">
        <v>117.5</v>
      </c>
      <c r="U73">
        <v>116.5</v>
      </c>
      <c r="V73">
        <v>115.7</v>
      </c>
      <c r="W73">
        <v>110.1</v>
      </c>
      <c r="X73">
        <v>113.9</v>
      </c>
      <c r="Y73">
        <v>109.8</v>
      </c>
      <c r="Z73">
        <v>115.1</v>
      </c>
      <c r="AA73">
        <v>119.5</v>
      </c>
      <c r="AB73">
        <v>123</v>
      </c>
      <c r="AC73">
        <v>113.8</v>
      </c>
      <c r="AD73">
        <v>119.4</v>
      </c>
    </row>
    <row r="74" spans="1:30" x14ac:dyDescent="0.35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130.4</v>
      </c>
      <c r="I74">
        <v>132.30000000000001</v>
      </c>
      <c r="J74">
        <v>117.2</v>
      </c>
      <c r="K74">
        <v>100.5</v>
      </c>
      <c r="L74">
        <v>117.2</v>
      </c>
      <c r="M74">
        <v>117.9</v>
      </c>
      <c r="N74">
        <v>125.6</v>
      </c>
      <c r="O74">
        <v>122.8</v>
      </c>
      <c r="P74">
        <v>111</v>
      </c>
      <c r="Q74">
        <v>124.4</v>
      </c>
      <c r="R74">
        <v>121.6</v>
      </c>
      <c r="S74">
        <v>124</v>
      </c>
      <c r="T74">
        <v>118.9</v>
      </c>
      <c r="U74">
        <v>139.2551</v>
      </c>
      <c r="V74">
        <v>118.4</v>
      </c>
      <c r="W74">
        <v>111</v>
      </c>
      <c r="X74">
        <v>114</v>
      </c>
      <c r="Y74">
        <v>110.2</v>
      </c>
      <c r="Z74">
        <v>116.6</v>
      </c>
      <c r="AA74">
        <v>118.2</v>
      </c>
      <c r="AB74">
        <v>122.7</v>
      </c>
      <c r="AC74">
        <v>114.5</v>
      </c>
      <c r="AD74">
        <v>120.3</v>
      </c>
    </row>
    <row r="75" spans="1:30" x14ac:dyDescent="0.35">
      <c r="A75" t="s">
        <v>32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121.3</v>
      </c>
      <c r="I75">
        <v>134.4</v>
      </c>
      <c r="J75">
        <v>122.9</v>
      </c>
      <c r="K75">
        <v>96.1</v>
      </c>
      <c r="L75">
        <v>126.6</v>
      </c>
      <c r="M75">
        <v>116.5</v>
      </c>
      <c r="N75">
        <v>128</v>
      </c>
      <c r="O75">
        <v>123.5</v>
      </c>
      <c r="P75">
        <v>104.3</v>
      </c>
      <c r="Q75">
        <v>121</v>
      </c>
      <c r="R75">
        <v>116.1</v>
      </c>
      <c r="S75">
        <v>120.2</v>
      </c>
      <c r="T75">
        <v>117.2</v>
      </c>
      <c r="U75">
        <v>117.3</v>
      </c>
      <c r="V75">
        <v>113.4</v>
      </c>
      <c r="W75">
        <v>107.9</v>
      </c>
      <c r="X75">
        <v>114.6</v>
      </c>
      <c r="Y75">
        <v>111.4</v>
      </c>
      <c r="Z75">
        <v>113.7</v>
      </c>
      <c r="AA75">
        <v>120.8</v>
      </c>
      <c r="AB75">
        <v>127.4</v>
      </c>
      <c r="AC75">
        <v>113.4</v>
      </c>
      <c r="AD75">
        <v>118.5</v>
      </c>
    </row>
    <row r="76" spans="1:30" x14ac:dyDescent="0.35">
      <c r="A76" t="s">
        <v>33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126.2</v>
      </c>
      <c r="I76">
        <v>133</v>
      </c>
      <c r="J76">
        <v>119.1</v>
      </c>
      <c r="K76">
        <v>99</v>
      </c>
      <c r="L76">
        <v>120.3</v>
      </c>
      <c r="M76">
        <v>117.3</v>
      </c>
      <c r="N76">
        <v>126.7</v>
      </c>
      <c r="O76">
        <v>123.1</v>
      </c>
      <c r="P76">
        <v>108.5</v>
      </c>
      <c r="Q76">
        <v>123.1</v>
      </c>
      <c r="R76">
        <v>119.3</v>
      </c>
      <c r="S76">
        <v>122.5</v>
      </c>
      <c r="T76">
        <v>118.1</v>
      </c>
      <c r="U76">
        <v>117.3</v>
      </c>
      <c r="V76">
        <v>116.5</v>
      </c>
      <c r="W76">
        <v>109.4</v>
      </c>
      <c r="X76">
        <v>114.3</v>
      </c>
      <c r="Y76">
        <v>110.7</v>
      </c>
      <c r="Z76">
        <v>115.5</v>
      </c>
      <c r="AA76">
        <v>119.7</v>
      </c>
      <c r="AB76">
        <v>124</v>
      </c>
      <c r="AC76">
        <v>114</v>
      </c>
      <c r="AD76">
        <v>119.5</v>
      </c>
    </row>
    <row r="77" spans="1:30" x14ac:dyDescent="0.35">
      <c r="A77" t="s">
        <v>30</v>
      </c>
      <c r="B77">
        <v>2015</v>
      </c>
      <c r="C77" t="s">
        <v>34</v>
      </c>
      <c r="D77">
        <v>123.4</v>
      </c>
      <c r="E77">
        <v>124.4</v>
      </c>
      <c r="F77">
        <v>122.1</v>
      </c>
      <c r="G77">
        <v>125.8</v>
      </c>
      <c r="H77">
        <v>129.4</v>
      </c>
      <c r="I77">
        <v>128.19999999999999</v>
      </c>
      <c r="J77">
        <v>118.8</v>
      </c>
      <c r="K77">
        <v>100</v>
      </c>
      <c r="L77">
        <v>118.6</v>
      </c>
      <c r="M77">
        <v>118.8</v>
      </c>
      <c r="N77">
        <v>126.8</v>
      </c>
      <c r="O77">
        <v>122.8</v>
      </c>
      <c r="P77">
        <v>111.5</v>
      </c>
      <c r="Q77">
        <v>125.4</v>
      </c>
      <c r="R77">
        <v>122.7</v>
      </c>
      <c r="S77">
        <v>125</v>
      </c>
      <c r="T77">
        <v>119.6</v>
      </c>
      <c r="U77">
        <v>139.2551</v>
      </c>
      <c r="V77">
        <v>120</v>
      </c>
      <c r="W77">
        <v>110.9</v>
      </c>
      <c r="X77">
        <v>114.8</v>
      </c>
      <c r="Y77">
        <v>110.8</v>
      </c>
      <c r="Z77">
        <v>117.7</v>
      </c>
      <c r="AA77">
        <v>118.7</v>
      </c>
      <c r="AB77">
        <v>124.2</v>
      </c>
      <c r="AC77">
        <v>115</v>
      </c>
      <c r="AD77">
        <v>120.6</v>
      </c>
    </row>
    <row r="78" spans="1:30" x14ac:dyDescent="0.35">
      <c r="A78" t="s">
        <v>32</v>
      </c>
      <c r="B78">
        <v>2015</v>
      </c>
      <c r="C78" t="s">
        <v>34</v>
      </c>
      <c r="D78">
        <v>124.3</v>
      </c>
      <c r="E78">
        <v>126.5</v>
      </c>
      <c r="F78">
        <v>119.5</v>
      </c>
      <c r="G78">
        <v>125.6</v>
      </c>
      <c r="H78">
        <v>121.6</v>
      </c>
      <c r="I78">
        <v>131.80000000000001</v>
      </c>
      <c r="J78">
        <v>125.1</v>
      </c>
      <c r="K78">
        <v>95</v>
      </c>
      <c r="L78">
        <v>127.7</v>
      </c>
      <c r="M78">
        <v>116.8</v>
      </c>
      <c r="N78">
        <v>128.6</v>
      </c>
      <c r="O78">
        <v>123.7</v>
      </c>
      <c r="P78">
        <v>104.9</v>
      </c>
      <c r="Q78">
        <v>121.3</v>
      </c>
      <c r="R78">
        <v>116.5</v>
      </c>
      <c r="S78">
        <v>120.6</v>
      </c>
      <c r="T78">
        <v>117.7</v>
      </c>
      <c r="U78">
        <v>118.1</v>
      </c>
      <c r="V78">
        <v>114</v>
      </c>
      <c r="W78">
        <v>106.8</v>
      </c>
      <c r="X78">
        <v>114.9</v>
      </c>
      <c r="Y78">
        <v>111.7</v>
      </c>
      <c r="Z78">
        <v>114.1</v>
      </c>
      <c r="AA78">
        <v>120.4</v>
      </c>
      <c r="AB78">
        <v>128.1</v>
      </c>
      <c r="AC78">
        <v>113.2</v>
      </c>
      <c r="AD78">
        <v>118.7</v>
      </c>
    </row>
    <row r="79" spans="1:30" x14ac:dyDescent="0.35">
      <c r="A79" t="s">
        <v>33</v>
      </c>
      <c r="B79">
        <v>2015</v>
      </c>
      <c r="C79" t="s">
        <v>34</v>
      </c>
      <c r="D79">
        <v>123.7</v>
      </c>
      <c r="E79">
        <v>125.1</v>
      </c>
      <c r="F79">
        <v>121.1</v>
      </c>
      <c r="G79">
        <v>125.7</v>
      </c>
      <c r="H79">
        <v>125.8</v>
      </c>
      <c r="I79">
        <v>129.4</v>
      </c>
      <c r="J79">
        <v>120.9</v>
      </c>
      <c r="K79">
        <v>98.3</v>
      </c>
      <c r="L79">
        <v>121.6</v>
      </c>
      <c r="M79">
        <v>118</v>
      </c>
      <c r="N79">
        <v>127.6</v>
      </c>
      <c r="O79">
        <v>123.1</v>
      </c>
      <c r="P79">
        <v>109.1</v>
      </c>
      <c r="Q79">
        <v>123.8</v>
      </c>
      <c r="R79">
        <v>120.1</v>
      </c>
      <c r="S79">
        <v>123.3</v>
      </c>
      <c r="T79">
        <v>118.7</v>
      </c>
      <c r="U79">
        <v>118.1</v>
      </c>
      <c r="V79">
        <v>117.7</v>
      </c>
      <c r="W79">
        <v>108.7</v>
      </c>
      <c r="X79">
        <v>114.9</v>
      </c>
      <c r="Y79">
        <v>111.2</v>
      </c>
      <c r="Z79">
        <v>116.3</v>
      </c>
      <c r="AA79">
        <v>119.7</v>
      </c>
      <c r="AB79">
        <v>125.2</v>
      </c>
      <c r="AC79">
        <v>114.1</v>
      </c>
      <c r="AD79">
        <v>119.7</v>
      </c>
    </row>
    <row r="80" spans="1:30" x14ac:dyDescent="0.35">
      <c r="A80" t="s">
        <v>30</v>
      </c>
      <c r="B80">
        <v>2015</v>
      </c>
      <c r="C80" t="s">
        <v>35</v>
      </c>
      <c r="D80">
        <v>123.3</v>
      </c>
      <c r="E80">
        <v>124.7</v>
      </c>
      <c r="F80">
        <v>118.9</v>
      </c>
      <c r="G80">
        <v>126</v>
      </c>
      <c r="H80">
        <v>130.9</v>
      </c>
      <c r="I80">
        <v>128</v>
      </c>
      <c r="J80">
        <v>119.9</v>
      </c>
      <c r="K80">
        <v>98.9</v>
      </c>
      <c r="L80">
        <v>119.4</v>
      </c>
      <c r="M80">
        <v>118.9</v>
      </c>
      <c r="N80">
        <v>127.7</v>
      </c>
      <c r="O80">
        <v>123.1</v>
      </c>
      <c r="P80">
        <v>111.8</v>
      </c>
      <c r="Q80">
        <v>126</v>
      </c>
      <c r="R80">
        <v>122.9</v>
      </c>
      <c r="S80">
        <v>125.5</v>
      </c>
      <c r="T80">
        <v>120.2</v>
      </c>
      <c r="U80">
        <v>139.2551</v>
      </c>
      <c r="V80">
        <v>120.6</v>
      </c>
      <c r="W80">
        <v>111.6</v>
      </c>
      <c r="X80">
        <v>115.5</v>
      </c>
      <c r="Y80">
        <v>110.8</v>
      </c>
      <c r="Z80">
        <v>118.2</v>
      </c>
      <c r="AA80">
        <v>119.4</v>
      </c>
      <c r="AB80">
        <v>124.7</v>
      </c>
      <c r="AC80">
        <v>115.5</v>
      </c>
      <c r="AD80">
        <v>121.1</v>
      </c>
    </row>
    <row r="81" spans="1:30" x14ac:dyDescent="0.35">
      <c r="A81" t="s">
        <v>32</v>
      </c>
      <c r="B81">
        <v>2015</v>
      </c>
      <c r="C81" t="s">
        <v>35</v>
      </c>
      <c r="D81">
        <v>124</v>
      </c>
      <c r="E81">
        <v>126.7</v>
      </c>
      <c r="F81">
        <v>113.5</v>
      </c>
      <c r="G81">
        <v>125.9</v>
      </c>
      <c r="H81">
        <v>123.8</v>
      </c>
      <c r="I81">
        <v>131.4</v>
      </c>
      <c r="J81">
        <v>127.2</v>
      </c>
      <c r="K81">
        <v>93.2</v>
      </c>
      <c r="L81">
        <v>127.4</v>
      </c>
      <c r="M81">
        <v>117</v>
      </c>
      <c r="N81">
        <v>129.19999999999999</v>
      </c>
      <c r="O81">
        <v>123.9</v>
      </c>
      <c r="P81">
        <v>104.8</v>
      </c>
      <c r="Q81">
        <v>121.7</v>
      </c>
      <c r="R81">
        <v>116.9</v>
      </c>
      <c r="S81">
        <v>120.9</v>
      </c>
      <c r="T81">
        <v>118</v>
      </c>
      <c r="U81">
        <v>118.6</v>
      </c>
      <c r="V81">
        <v>114.4</v>
      </c>
      <c r="W81">
        <v>108.4</v>
      </c>
      <c r="X81">
        <v>115.4</v>
      </c>
      <c r="Y81">
        <v>111.3</v>
      </c>
      <c r="Z81">
        <v>114.3</v>
      </c>
      <c r="AA81">
        <v>120.6</v>
      </c>
      <c r="AB81">
        <v>128.80000000000001</v>
      </c>
      <c r="AC81">
        <v>113.8</v>
      </c>
      <c r="AD81">
        <v>119.1</v>
      </c>
    </row>
    <row r="82" spans="1:30" x14ac:dyDescent="0.35">
      <c r="A82" t="s">
        <v>33</v>
      </c>
      <c r="B82">
        <v>2015</v>
      </c>
      <c r="C82" t="s">
        <v>35</v>
      </c>
      <c r="D82">
        <v>123.5</v>
      </c>
      <c r="E82">
        <v>125.4</v>
      </c>
      <c r="F82">
        <v>116.8</v>
      </c>
      <c r="G82">
        <v>126</v>
      </c>
      <c r="H82">
        <v>127.6</v>
      </c>
      <c r="I82">
        <v>129.19999999999999</v>
      </c>
      <c r="J82">
        <v>122.4</v>
      </c>
      <c r="K82">
        <v>97</v>
      </c>
      <c r="L82">
        <v>122.1</v>
      </c>
      <c r="M82">
        <v>118.1</v>
      </c>
      <c r="N82">
        <v>128.4</v>
      </c>
      <c r="O82">
        <v>123.4</v>
      </c>
      <c r="P82">
        <v>109.2</v>
      </c>
      <c r="Q82">
        <v>124.3</v>
      </c>
      <c r="R82">
        <v>120.4</v>
      </c>
      <c r="S82">
        <v>123.7</v>
      </c>
      <c r="T82">
        <v>119.2</v>
      </c>
      <c r="U82">
        <v>118.6</v>
      </c>
      <c r="V82">
        <v>118.3</v>
      </c>
      <c r="W82">
        <v>109.9</v>
      </c>
      <c r="X82">
        <v>115.4</v>
      </c>
      <c r="Y82">
        <v>111</v>
      </c>
      <c r="Z82">
        <v>116.7</v>
      </c>
      <c r="AA82">
        <v>120.1</v>
      </c>
      <c r="AB82">
        <v>125.8</v>
      </c>
      <c r="AC82">
        <v>114.7</v>
      </c>
      <c r="AD82">
        <v>120.2</v>
      </c>
    </row>
    <row r="83" spans="1:30" x14ac:dyDescent="0.35">
      <c r="A83" t="s">
        <v>30</v>
      </c>
      <c r="B83">
        <v>2015</v>
      </c>
      <c r="C83" t="s">
        <v>36</v>
      </c>
      <c r="D83">
        <v>123.3</v>
      </c>
      <c r="E83">
        <v>125.5</v>
      </c>
      <c r="F83">
        <v>117.2</v>
      </c>
      <c r="G83">
        <v>126.8</v>
      </c>
      <c r="H83">
        <v>134.19999999999999</v>
      </c>
      <c r="I83">
        <v>127.5</v>
      </c>
      <c r="J83">
        <v>121.5</v>
      </c>
      <c r="K83">
        <v>97.8</v>
      </c>
      <c r="L83">
        <v>119.8</v>
      </c>
      <c r="M83">
        <v>119.4</v>
      </c>
      <c r="N83">
        <v>128.69999999999999</v>
      </c>
      <c r="O83">
        <v>123.6</v>
      </c>
      <c r="P83">
        <v>111.9</v>
      </c>
      <c r="Q83">
        <v>126.4</v>
      </c>
      <c r="R83">
        <v>123.3</v>
      </c>
      <c r="S83">
        <v>126</v>
      </c>
      <c r="T83">
        <v>120.9</v>
      </c>
      <c r="U83">
        <v>139.2551</v>
      </c>
      <c r="V83">
        <v>121.2</v>
      </c>
      <c r="W83">
        <v>111.9</v>
      </c>
      <c r="X83">
        <v>116.2</v>
      </c>
      <c r="Y83">
        <v>111.6</v>
      </c>
      <c r="Z83">
        <v>118.6</v>
      </c>
      <c r="AA83">
        <v>119.9</v>
      </c>
      <c r="AB83">
        <v>125.7</v>
      </c>
      <c r="AC83">
        <v>116</v>
      </c>
      <c r="AD83">
        <v>121.5</v>
      </c>
    </row>
    <row r="84" spans="1:30" x14ac:dyDescent="0.35">
      <c r="A84" t="s">
        <v>32</v>
      </c>
      <c r="B84">
        <v>2015</v>
      </c>
      <c r="C84" t="s">
        <v>36</v>
      </c>
      <c r="D84">
        <v>123.8</v>
      </c>
      <c r="E84">
        <v>128.19999999999999</v>
      </c>
      <c r="F84">
        <v>110</v>
      </c>
      <c r="G84">
        <v>126.3</v>
      </c>
      <c r="H84">
        <v>130.6</v>
      </c>
      <c r="I84">
        <v>130.80000000000001</v>
      </c>
      <c r="J84">
        <v>131.30000000000001</v>
      </c>
      <c r="K84">
        <v>91.6</v>
      </c>
      <c r="L84">
        <v>127.7</v>
      </c>
      <c r="M84">
        <v>117.2</v>
      </c>
      <c r="N84">
        <v>129.5</v>
      </c>
      <c r="O84">
        <v>124.6</v>
      </c>
      <c r="P84">
        <v>104.5</v>
      </c>
      <c r="Q84">
        <v>122.1</v>
      </c>
      <c r="R84">
        <v>117.2</v>
      </c>
      <c r="S84">
        <v>121.3</v>
      </c>
      <c r="T84">
        <v>118.4</v>
      </c>
      <c r="U84">
        <v>119.2</v>
      </c>
      <c r="V84">
        <v>114.7</v>
      </c>
      <c r="W84">
        <v>108.4</v>
      </c>
      <c r="X84">
        <v>115.6</v>
      </c>
      <c r="Y84">
        <v>111.8</v>
      </c>
      <c r="Z84">
        <v>114.6</v>
      </c>
      <c r="AA84">
        <v>121.7</v>
      </c>
      <c r="AB84">
        <v>130.1</v>
      </c>
      <c r="AC84">
        <v>114.2</v>
      </c>
      <c r="AD84">
        <v>119.7</v>
      </c>
    </row>
    <row r="85" spans="1:30" x14ac:dyDescent="0.35">
      <c r="A85" t="s">
        <v>33</v>
      </c>
      <c r="B85">
        <v>2015</v>
      </c>
      <c r="C85" t="s">
        <v>36</v>
      </c>
      <c r="D85">
        <v>123.5</v>
      </c>
      <c r="E85">
        <v>126.4</v>
      </c>
      <c r="F85">
        <v>114.4</v>
      </c>
      <c r="G85">
        <v>126.6</v>
      </c>
      <c r="H85">
        <v>132.5</v>
      </c>
      <c r="I85">
        <v>128.6</v>
      </c>
      <c r="J85">
        <v>124.8</v>
      </c>
      <c r="K85">
        <v>95.7</v>
      </c>
      <c r="L85">
        <v>122.4</v>
      </c>
      <c r="M85">
        <v>118.5</v>
      </c>
      <c r="N85">
        <v>129.1</v>
      </c>
      <c r="O85">
        <v>124</v>
      </c>
      <c r="P85">
        <v>109.2</v>
      </c>
      <c r="Q85">
        <v>124.7</v>
      </c>
      <c r="R85">
        <v>120.8</v>
      </c>
      <c r="S85">
        <v>124.1</v>
      </c>
      <c r="T85">
        <v>119.7</v>
      </c>
      <c r="U85">
        <v>119.2</v>
      </c>
      <c r="V85">
        <v>118.7</v>
      </c>
      <c r="W85">
        <v>110.1</v>
      </c>
      <c r="X85">
        <v>115.9</v>
      </c>
      <c r="Y85">
        <v>111.7</v>
      </c>
      <c r="Z85">
        <v>117.1</v>
      </c>
      <c r="AA85">
        <v>121</v>
      </c>
      <c r="AB85">
        <v>126.9</v>
      </c>
      <c r="AC85">
        <v>115.1</v>
      </c>
      <c r="AD85">
        <v>120.7</v>
      </c>
    </row>
    <row r="86" spans="1:30" x14ac:dyDescent="0.35">
      <c r="A86" t="s">
        <v>30</v>
      </c>
      <c r="B86">
        <v>2015</v>
      </c>
      <c r="C86" t="s">
        <v>37</v>
      </c>
      <c r="D86">
        <v>123.5</v>
      </c>
      <c r="E86">
        <v>127.1</v>
      </c>
      <c r="F86">
        <v>117.3</v>
      </c>
      <c r="G86">
        <v>127.7</v>
      </c>
      <c r="H86">
        <v>134.1</v>
      </c>
      <c r="I86">
        <v>128.5</v>
      </c>
      <c r="J86">
        <v>124.3</v>
      </c>
      <c r="K86">
        <v>97.6</v>
      </c>
      <c r="L86">
        <v>120.7</v>
      </c>
      <c r="M86">
        <v>120.2</v>
      </c>
      <c r="N86">
        <v>129.80000000000001</v>
      </c>
      <c r="O86">
        <v>124.4</v>
      </c>
      <c r="P86">
        <v>112.5</v>
      </c>
      <c r="Q86">
        <v>127.3</v>
      </c>
      <c r="R86">
        <v>124.1</v>
      </c>
      <c r="S86">
        <v>126.8</v>
      </c>
      <c r="T86">
        <v>121.5</v>
      </c>
      <c r="U86">
        <v>139.2551</v>
      </c>
      <c r="V86">
        <v>121.9</v>
      </c>
      <c r="W86">
        <v>113.3</v>
      </c>
      <c r="X86">
        <v>116.7</v>
      </c>
      <c r="Y86">
        <v>112.3</v>
      </c>
      <c r="Z86">
        <v>119.4</v>
      </c>
      <c r="AA86">
        <v>120.5</v>
      </c>
      <c r="AB86">
        <v>126.7</v>
      </c>
      <c r="AC86">
        <v>116.9</v>
      </c>
      <c r="AD86">
        <v>122.4</v>
      </c>
    </row>
    <row r="87" spans="1:30" x14ac:dyDescent="0.35">
      <c r="A87" t="s">
        <v>32</v>
      </c>
      <c r="B87">
        <v>2015</v>
      </c>
      <c r="C87" t="s">
        <v>37</v>
      </c>
      <c r="D87">
        <v>123.8</v>
      </c>
      <c r="E87">
        <v>129.69999999999999</v>
      </c>
      <c r="F87">
        <v>111.3</v>
      </c>
      <c r="G87">
        <v>126.6</v>
      </c>
      <c r="H87">
        <v>130.80000000000001</v>
      </c>
      <c r="I87">
        <v>135.6</v>
      </c>
      <c r="J87">
        <v>142.6</v>
      </c>
      <c r="K87">
        <v>90.8</v>
      </c>
      <c r="L87">
        <v>128.80000000000001</v>
      </c>
      <c r="M87">
        <v>117.7</v>
      </c>
      <c r="N87">
        <v>129.9</v>
      </c>
      <c r="O87">
        <v>126.1</v>
      </c>
      <c r="P87">
        <v>105.2</v>
      </c>
      <c r="Q87">
        <v>122.4</v>
      </c>
      <c r="R87">
        <v>117.4</v>
      </c>
      <c r="S87">
        <v>121.6</v>
      </c>
      <c r="T87">
        <v>118.7</v>
      </c>
      <c r="U87">
        <v>119.6</v>
      </c>
      <c r="V87">
        <v>114.9</v>
      </c>
      <c r="W87">
        <v>110.8</v>
      </c>
      <c r="X87">
        <v>116</v>
      </c>
      <c r="Y87">
        <v>112.4</v>
      </c>
      <c r="Z87">
        <v>114.9</v>
      </c>
      <c r="AA87">
        <v>122</v>
      </c>
      <c r="AB87">
        <v>131.30000000000001</v>
      </c>
      <c r="AC87">
        <v>115.2</v>
      </c>
      <c r="AD87">
        <v>120.7</v>
      </c>
    </row>
    <row r="88" spans="1:30" x14ac:dyDescent="0.35">
      <c r="A88" t="s">
        <v>33</v>
      </c>
      <c r="B88">
        <v>2015</v>
      </c>
      <c r="C88" t="s">
        <v>37</v>
      </c>
      <c r="D88">
        <v>123.6</v>
      </c>
      <c r="E88">
        <v>128</v>
      </c>
      <c r="F88">
        <v>115</v>
      </c>
      <c r="G88">
        <v>127.3</v>
      </c>
      <c r="H88">
        <v>132.6</v>
      </c>
      <c r="I88">
        <v>130.9</v>
      </c>
      <c r="J88">
        <v>130.5</v>
      </c>
      <c r="K88">
        <v>95.3</v>
      </c>
      <c r="L88">
        <v>123.4</v>
      </c>
      <c r="M88">
        <v>119.2</v>
      </c>
      <c r="N88">
        <v>129.80000000000001</v>
      </c>
      <c r="O88">
        <v>125</v>
      </c>
      <c r="P88">
        <v>109.8</v>
      </c>
      <c r="Q88">
        <v>125.4</v>
      </c>
      <c r="R88">
        <v>121.3</v>
      </c>
      <c r="S88">
        <v>124.7</v>
      </c>
      <c r="T88">
        <v>120.2</v>
      </c>
      <c r="U88">
        <v>119.6</v>
      </c>
      <c r="V88">
        <v>119.2</v>
      </c>
      <c r="W88">
        <v>112</v>
      </c>
      <c r="X88">
        <v>116.3</v>
      </c>
      <c r="Y88">
        <v>112.3</v>
      </c>
      <c r="Z88">
        <v>117.7</v>
      </c>
      <c r="AA88">
        <v>121.4</v>
      </c>
      <c r="AB88">
        <v>127.9</v>
      </c>
      <c r="AC88">
        <v>116.1</v>
      </c>
      <c r="AD88">
        <v>121.6</v>
      </c>
    </row>
    <row r="89" spans="1:30" x14ac:dyDescent="0.35">
      <c r="A89" t="s">
        <v>30</v>
      </c>
      <c r="B89">
        <v>2015</v>
      </c>
      <c r="C89" t="s">
        <v>38</v>
      </c>
      <c r="D89">
        <v>124.1</v>
      </c>
      <c r="E89">
        <v>130.4</v>
      </c>
      <c r="F89">
        <v>122.1</v>
      </c>
      <c r="G89">
        <v>128.69999999999999</v>
      </c>
      <c r="H89">
        <v>133.19999999999999</v>
      </c>
      <c r="I89">
        <v>135.19999999999999</v>
      </c>
      <c r="J89">
        <v>131.9</v>
      </c>
      <c r="K89">
        <v>96.3</v>
      </c>
      <c r="L89">
        <v>123</v>
      </c>
      <c r="M89">
        <v>121.1</v>
      </c>
      <c r="N89">
        <v>131.19999999999999</v>
      </c>
      <c r="O89">
        <v>126.6</v>
      </c>
      <c r="P89">
        <v>114.1</v>
      </c>
      <c r="Q89">
        <v>128.4</v>
      </c>
      <c r="R89">
        <v>125.1</v>
      </c>
      <c r="S89">
        <v>128</v>
      </c>
      <c r="T89">
        <v>122.8</v>
      </c>
      <c r="U89">
        <v>139.2551</v>
      </c>
      <c r="V89">
        <v>122.6</v>
      </c>
      <c r="W89">
        <v>114.2</v>
      </c>
      <c r="X89">
        <v>117.9</v>
      </c>
      <c r="Y89">
        <v>113</v>
      </c>
      <c r="Z89">
        <v>120.4</v>
      </c>
      <c r="AA89">
        <v>122</v>
      </c>
      <c r="AB89">
        <v>128.19999999999999</v>
      </c>
      <c r="AC89">
        <v>117.9</v>
      </c>
      <c r="AD89">
        <v>124.1</v>
      </c>
    </row>
    <row r="90" spans="1:30" x14ac:dyDescent="0.35">
      <c r="A90" t="s">
        <v>32</v>
      </c>
      <c r="B90">
        <v>2015</v>
      </c>
      <c r="C90" t="s">
        <v>38</v>
      </c>
      <c r="D90">
        <v>123.6</v>
      </c>
      <c r="E90">
        <v>134.4</v>
      </c>
      <c r="F90">
        <v>120.9</v>
      </c>
      <c r="G90">
        <v>127.3</v>
      </c>
      <c r="H90">
        <v>132.30000000000001</v>
      </c>
      <c r="I90">
        <v>146.69999999999999</v>
      </c>
      <c r="J90">
        <v>148.1</v>
      </c>
      <c r="K90">
        <v>89.8</v>
      </c>
      <c r="L90">
        <v>130.5</v>
      </c>
      <c r="M90">
        <v>118</v>
      </c>
      <c r="N90">
        <v>130.5</v>
      </c>
      <c r="O90">
        <v>128.5</v>
      </c>
      <c r="P90">
        <v>106</v>
      </c>
      <c r="Q90">
        <v>123.2</v>
      </c>
      <c r="R90">
        <v>117.6</v>
      </c>
      <c r="S90">
        <v>122.3</v>
      </c>
      <c r="T90">
        <v>119.2</v>
      </c>
      <c r="U90">
        <v>119</v>
      </c>
      <c r="V90">
        <v>115.1</v>
      </c>
      <c r="W90">
        <v>111.7</v>
      </c>
      <c r="X90">
        <v>116.2</v>
      </c>
      <c r="Y90">
        <v>112.5</v>
      </c>
      <c r="Z90">
        <v>115.4</v>
      </c>
      <c r="AA90">
        <v>123.8</v>
      </c>
      <c r="AB90">
        <v>132.1</v>
      </c>
      <c r="AC90">
        <v>116</v>
      </c>
      <c r="AD90">
        <v>121.7</v>
      </c>
    </row>
    <row r="91" spans="1:30" x14ac:dyDescent="0.35">
      <c r="A91" t="s">
        <v>33</v>
      </c>
      <c r="B91">
        <v>2015</v>
      </c>
      <c r="C91" t="s">
        <v>38</v>
      </c>
      <c r="D91">
        <v>123.9</v>
      </c>
      <c r="E91">
        <v>131.80000000000001</v>
      </c>
      <c r="F91">
        <v>121.6</v>
      </c>
      <c r="G91">
        <v>128.19999999999999</v>
      </c>
      <c r="H91">
        <v>132.80000000000001</v>
      </c>
      <c r="I91">
        <v>139.1</v>
      </c>
      <c r="J91">
        <v>137.4</v>
      </c>
      <c r="K91">
        <v>94.1</v>
      </c>
      <c r="L91">
        <v>125.5</v>
      </c>
      <c r="M91">
        <v>119.8</v>
      </c>
      <c r="N91">
        <v>130.9</v>
      </c>
      <c r="O91">
        <v>127.3</v>
      </c>
      <c r="P91">
        <v>111.1</v>
      </c>
      <c r="Q91">
        <v>126.4</v>
      </c>
      <c r="R91">
        <v>122</v>
      </c>
      <c r="S91">
        <v>125.7</v>
      </c>
      <c r="T91">
        <v>121.1</v>
      </c>
      <c r="U91">
        <v>119</v>
      </c>
      <c r="V91">
        <v>119.8</v>
      </c>
      <c r="W91">
        <v>112.9</v>
      </c>
      <c r="X91">
        <v>116.9</v>
      </c>
      <c r="Y91">
        <v>112.8</v>
      </c>
      <c r="Z91">
        <v>118.5</v>
      </c>
      <c r="AA91">
        <v>123.1</v>
      </c>
      <c r="AB91">
        <v>129.19999999999999</v>
      </c>
      <c r="AC91">
        <v>117</v>
      </c>
      <c r="AD91">
        <v>123</v>
      </c>
    </row>
    <row r="92" spans="1:30" x14ac:dyDescent="0.35">
      <c r="A92" t="s">
        <v>30</v>
      </c>
      <c r="B92">
        <v>2015</v>
      </c>
      <c r="C92" t="s">
        <v>39</v>
      </c>
      <c r="D92">
        <v>124</v>
      </c>
      <c r="E92">
        <v>131.5</v>
      </c>
      <c r="F92">
        <v>122</v>
      </c>
      <c r="G92">
        <v>128.69999999999999</v>
      </c>
      <c r="H92">
        <v>133.30000000000001</v>
      </c>
      <c r="I92">
        <v>140.80000000000001</v>
      </c>
      <c r="J92">
        <v>133.80000000000001</v>
      </c>
      <c r="K92">
        <v>94.1</v>
      </c>
      <c r="L92">
        <v>123.4</v>
      </c>
      <c r="M92">
        <v>121</v>
      </c>
      <c r="N92">
        <v>131.69999999999999</v>
      </c>
      <c r="O92">
        <v>127.5</v>
      </c>
      <c r="P92">
        <v>113.5</v>
      </c>
      <c r="Q92">
        <v>128.80000000000001</v>
      </c>
      <c r="R92">
        <v>125.5</v>
      </c>
      <c r="S92">
        <v>128.30000000000001</v>
      </c>
      <c r="T92">
        <v>123</v>
      </c>
      <c r="U92">
        <v>139.2551</v>
      </c>
      <c r="V92">
        <v>123</v>
      </c>
      <c r="W92">
        <v>114.1</v>
      </c>
      <c r="X92">
        <v>118</v>
      </c>
      <c r="Y92">
        <v>112.7</v>
      </c>
      <c r="Z92">
        <v>120.8</v>
      </c>
      <c r="AA92">
        <v>122.9</v>
      </c>
      <c r="AB92">
        <v>129.4</v>
      </c>
      <c r="AC92">
        <v>118.1</v>
      </c>
      <c r="AD92">
        <v>124.7</v>
      </c>
    </row>
    <row r="93" spans="1:30" x14ac:dyDescent="0.35">
      <c r="A93" t="s">
        <v>32</v>
      </c>
      <c r="B93">
        <v>2015</v>
      </c>
      <c r="C93" t="s">
        <v>39</v>
      </c>
      <c r="D93">
        <v>123.2</v>
      </c>
      <c r="E93">
        <v>134.30000000000001</v>
      </c>
      <c r="F93">
        <v>119.5</v>
      </c>
      <c r="G93">
        <v>127.7</v>
      </c>
      <c r="H93">
        <v>132.80000000000001</v>
      </c>
      <c r="I93">
        <v>153.5</v>
      </c>
      <c r="J93">
        <v>149.5</v>
      </c>
      <c r="K93">
        <v>85.7</v>
      </c>
      <c r="L93">
        <v>131.5</v>
      </c>
      <c r="M93">
        <v>118.3</v>
      </c>
      <c r="N93">
        <v>131.1</v>
      </c>
      <c r="O93">
        <v>129.5</v>
      </c>
      <c r="P93">
        <v>106.3</v>
      </c>
      <c r="Q93">
        <v>123.5</v>
      </c>
      <c r="R93">
        <v>117.9</v>
      </c>
      <c r="S93">
        <v>122.7</v>
      </c>
      <c r="T93">
        <v>119.5</v>
      </c>
      <c r="U93">
        <v>119.9</v>
      </c>
      <c r="V93">
        <v>115.3</v>
      </c>
      <c r="W93">
        <v>111.5</v>
      </c>
      <c r="X93">
        <v>116.6</v>
      </c>
      <c r="Y93">
        <v>111.7</v>
      </c>
      <c r="Z93">
        <v>116</v>
      </c>
      <c r="AA93">
        <v>125.4</v>
      </c>
      <c r="AB93">
        <v>133.1</v>
      </c>
      <c r="AC93">
        <v>116.3</v>
      </c>
      <c r="AD93">
        <v>122.4</v>
      </c>
    </row>
    <row r="94" spans="1:30" x14ac:dyDescent="0.35">
      <c r="A94" t="s">
        <v>33</v>
      </c>
      <c r="B94">
        <v>2015</v>
      </c>
      <c r="C94" t="s">
        <v>39</v>
      </c>
      <c r="D94">
        <v>123.7</v>
      </c>
      <c r="E94">
        <v>132.5</v>
      </c>
      <c r="F94">
        <v>121</v>
      </c>
      <c r="G94">
        <v>128.30000000000001</v>
      </c>
      <c r="H94">
        <v>133.1</v>
      </c>
      <c r="I94">
        <v>145.1</v>
      </c>
      <c r="J94">
        <v>139.1</v>
      </c>
      <c r="K94">
        <v>91.3</v>
      </c>
      <c r="L94">
        <v>126.1</v>
      </c>
      <c r="M94">
        <v>119.9</v>
      </c>
      <c r="N94">
        <v>131.4</v>
      </c>
      <c r="O94">
        <v>128.19999999999999</v>
      </c>
      <c r="P94">
        <v>110.9</v>
      </c>
      <c r="Q94">
        <v>126.7</v>
      </c>
      <c r="R94">
        <v>122.3</v>
      </c>
      <c r="S94">
        <v>126.1</v>
      </c>
      <c r="T94">
        <v>121.3</v>
      </c>
      <c r="U94">
        <v>119.9</v>
      </c>
      <c r="V94">
        <v>120.1</v>
      </c>
      <c r="W94">
        <v>112.7</v>
      </c>
      <c r="X94">
        <v>117.2</v>
      </c>
      <c r="Y94">
        <v>112.3</v>
      </c>
      <c r="Z94">
        <v>119</v>
      </c>
      <c r="AA94">
        <v>124.4</v>
      </c>
      <c r="AB94">
        <v>130.4</v>
      </c>
      <c r="AC94">
        <v>117.2</v>
      </c>
      <c r="AD94">
        <v>123.6</v>
      </c>
    </row>
    <row r="95" spans="1:30" x14ac:dyDescent="0.35">
      <c r="A95" t="s">
        <v>30</v>
      </c>
      <c r="B95">
        <v>2015</v>
      </c>
      <c r="C95" t="s">
        <v>40</v>
      </c>
      <c r="D95">
        <v>124.7</v>
      </c>
      <c r="E95">
        <v>131.30000000000001</v>
      </c>
      <c r="F95">
        <v>121.3</v>
      </c>
      <c r="G95">
        <v>128.80000000000001</v>
      </c>
      <c r="H95">
        <v>134.19999999999999</v>
      </c>
      <c r="I95">
        <v>153.6</v>
      </c>
      <c r="J95">
        <v>137.9</v>
      </c>
      <c r="K95">
        <v>93.1</v>
      </c>
      <c r="L95">
        <v>123.9</v>
      </c>
      <c r="M95">
        <v>121.5</v>
      </c>
      <c r="N95">
        <v>132.5</v>
      </c>
      <c r="O95">
        <v>129.80000000000001</v>
      </c>
      <c r="P95">
        <v>114</v>
      </c>
      <c r="Q95">
        <v>129.5</v>
      </c>
      <c r="R95">
        <v>126.3</v>
      </c>
      <c r="S95">
        <v>129</v>
      </c>
      <c r="T95">
        <v>123.7</v>
      </c>
      <c r="U95">
        <v>139.2551</v>
      </c>
      <c r="V95">
        <v>123.8</v>
      </c>
      <c r="W95">
        <v>113.6</v>
      </c>
      <c r="X95">
        <v>118.5</v>
      </c>
      <c r="Y95">
        <v>112.5</v>
      </c>
      <c r="Z95">
        <v>121.1</v>
      </c>
      <c r="AA95">
        <v>123.6</v>
      </c>
      <c r="AB95">
        <v>130.1</v>
      </c>
      <c r="AC95">
        <v>118.2</v>
      </c>
      <c r="AD95">
        <v>126.1</v>
      </c>
    </row>
    <row r="96" spans="1:30" x14ac:dyDescent="0.35">
      <c r="A96" t="s">
        <v>32</v>
      </c>
      <c r="B96">
        <v>2015</v>
      </c>
      <c r="C96" t="s">
        <v>40</v>
      </c>
      <c r="D96">
        <v>123.1</v>
      </c>
      <c r="E96">
        <v>131.69999999999999</v>
      </c>
      <c r="F96">
        <v>118.1</v>
      </c>
      <c r="G96">
        <v>128</v>
      </c>
      <c r="H96">
        <v>130.1</v>
      </c>
      <c r="I96">
        <v>165.5</v>
      </c>
      <c r="J96">
        <v>156</v>
      </c>
      <c r="K96">
        <v>85.3</v>
      </c>
      <c r="L96">
        <v>132.69999999999999</v>
      </c>
      <c r="M96">
        <v>118.8</v>
      </c>
      <c r="N96">
        <v>131.69999999999999</v>
      </c>
      <c r="O96">
        <v>131.1</v>
      </c>
      <c r="P96">
        <v>106.8</v>
      </c>
      <c r="Q96">
        <v>123.7</v>
      </c>
      <c r="R96">
        <v>118.2</v>
      </c>
      <c r="S96">
        <v>122.9</v>
      </c>
      <c r="T96">
        <v>120</v>
      </c>
      <c r="U96">
        <v>120.9</v>
      </c>
      <c r="V96">
        <v>115.3</v>
      </c>
      <c r="W96">
        <v>109.9</v>
      </c>
      <c r="X96">
        <v>117.2</v>
      </c>
      <c r="Y96">
        <v>112</v>
      </c>
      <c r="Z96">
        <v>116.6</v>
      </c>
      <c r="AA96">
        <v>126.2</v>
      </c>
      <c r="AB96">
        <v>134.19999999999999</v>
      </c>
      <c r="AC96">
        <v>116.2</v>
      </c>
      <c r="AD96">
        <v>123.2</v>
      </c>
    </row>
    <row r="97" spans="1:30" x14ac:dyDescent="0.35">
      <c r="A97" t="s">
        <v>33</v>
      </c>
      <c r="B97">
        <v>2015</v>
      </c>
      <c r="C97" t="s">
        <v>40</v>
      </c>
      <c r="D97">
        <v>124.2</v>
      </c>
      <c r="E97">
        <v>131.4</v>
      </c>
      <c r="F97">
        <v>120.1</v>
      </c>
      <c r="G97">
        <v>128.5</v>
      </c>
      <c r="H97">
        <v>132.30000000000001</v>
      </c>
      <c r="I97">
        <v>157.6</v>
      </c>
      <c r="J97">
        <v>144</v>
      </c>
      <c r="K97">
        <v>90.5</v>
      </c>
      <c r="L97">
        <v>126.8</v>
      </c>
      <c r="M97">
        <v>120.4</v>
      </c>
      <c r="N97">
        <v>132.1</v>
      </c>
      <c r="O97">
        <v>130.30000000000001</v>
      </c>
      <c r="P97">
        <v>111.4</v>
      </c>
      <c r="Q97">
        <v>127.2</v>
      </c>
      <c r="R97">
        <v>122.9</v>
      </c>
      <c r="S97">
        <v>126.6</v>
      </c>
      <c r="T97">
        <v>122</v>
      </c>
      <c r="U97">
        <v>120.9</v>
      </c>
      <c r="V97">
        <v>120.6</v>
      </c>
      <c r="W97">
        <v>111.7</v>
      </c>
      <c r="X97">
        <v>117.8</v>
      </c>
      <c r="Y97">
        <v>112.3</v>
      </c>
      <c r="Z97">
        <v>119.4</v>
      </c>
      <c r="AA97">
        <v>125.1</v>
      </c>
      <c r="AB97">
        <v>131.19999999999999</v>
      </c>
      <c r="AC97">
        <v>117.2</v>
      </c>
      <c r="AD97">
        <v>124.8</v>
      </c>
    </row>
    <row r="98" spans="1:30" x14ac:dyDescent="0.35">
      <c r="A98" t="s">
        <v>30</v>
      </c>
      <c r="B98">
        <v>2015</v>
      </c>
      <c r="C98" t="s">
        <v>41</v>
      </c>
      <c r="D98">
        <v>125.1</v>
      </c>
      <c r="E98">
        <v>131.1</v>
      </c>
      <c r="F98">
        <v>120.7</v>
      </c>
      <c r="G98">
        <v>129.19999999999999</v>
      </c>
      <c r="H98">
        <v>132.30000000000001</v>
      </c>
      <c r="I98">
        <v>158.9</v>
      </c>
      <c r="J98">
        <v>142.1</v>
      </c>
      <c r="K98">
        <v>92.5</v>
      </c>
      <c r="L98">
        <v>125.4</v>
      </c>
      <c r="M98">
        <v>121.9</v>
      </c>
      <c r="N98">
        <v>132.69999999999999</v>
      </c>
      <c r="O98">
        <v>131</v>
      </c>
      <c r="P98">
        <v>114.7</v>
      </c>
      <c r="Q98">
        <v>130.4</v>
      </c>
      <c r="R98">
        <v>126.8</v>
      </c>
      <c r="S98">
        <v>129.9</v>
      </c>
      <c r="T98">
        <v>124.5</v>
      </c>
      <c r="U98">
        <v>139.2551</v>
      </c>
      <c r="V98">
        <v>123.7</v>
      </c>
      <c r="W98">
        <v>113.8</v>
      </c>
      <c r="X98">
        <v>119.6</v>
      </c>
      <c r="Y98">
        <v>113.7</v>
      </c>
      <c r="Z98">
        <v>121.4</v>
      </c>
      <c r="AA98">
        <v>124.5</v>
      </c>
      <c r="AB98">
        <v>131</v>
      </c>
      <c r="AC98">
        <v>118.8</v>
      </c>
      <c r="AD98">
        <v>127</v>
      </c>
    </row>
    <row r="99" spans="1:30" x14ac:dyDescent="0.35">
      <c r="A99" t="s">
        <v>32</v>
      </c>
      <c r="B99">
        <v>2015</v>
      </c>
      <c r="C99" t="s">
        <v>41</v>
      </c>
      <c r="D99">
        <v>123.4</v>
      </c>
      <c r="E99">
        <v>129</v>
      </c>
      <c r="F99">
        <v>115.6</v>
      </c>
      <c r="G99">
        <v>128.30000000000001</v>
      </c>
      <c r="H99">
        <v>124</v>
      </c>
      <c r="I99">
        <v>168.5</v>
      </c>
      <c r="J99">
        <v>165.4</v>
      </c>
      <c r="K99">
        <v>86.3</v>
      </c>
      <c r="L99">
        <v>134.4</v>
      </c>
      <c r="M99">
        <v>119.1</v>
      </c>
      <c r="N99">
        <v>132.30000000000001</v>
      </c>
      <c r="O99">
        <v>131.5</v>
      </c>
      <c r="P99">
        <v>107</v>
      </c>
      <c r="Q99">
        <v>124</v>
      </c>
      <c r="R99">
        <v>118.6</v>
      </c>
      <c r="S99">
        <v>123.2</v>
      </c>
      <c r="T99">
        <v>120.4</v>
      </c>
      <c r="U99">
        <v>121.6</v>
      </c>
      <c r="V99">
        <v>115.1</v>
      </c>
      <c r="W99">
        <v>109.1</v>
      </c>
      <c r="X99">
        <v>117.3</v>
      </c>
      <c r="Y99">
        <v>112.9</v>
      </c>
      <c r="Z99">
        <v>117.1</v>
      </c>
      <c r="AA99">
        <v>126.5</v>
      </c>
      <c r="AB99">
        <v>134.69999999999999</v>
      </c>
      <c r="AC99">
        <v>116.2</v>
      </c>
      <c r="AD99">
        <v>123.5</v>
      </c>
    </row>
    <row r="100" spans="1:30" x14ac:dyDescent="0.35">
      <c r="A100" t="s">
        <v>33</v>
      </c>
      <c r="B100">
        <v>2015</v>
      </c>
      <c r="C100" t="s">
        <v>41</v>
      </c>
      <c r="D100">
        <v>124.6</v>
      </c>
      <c r="E100">
        <v>130.4</v>
      </c>
      <c r="F100">
        <v>118.7</v>
      </c>
      <c r="G100">
        <v>128.9</v>
      </c>
      <c r="H100">
        <v>128.4</v>
      </c>
      <c r="I100">
        <v>162.19999999999999</v>
      </c>
      <c r="J100">
        <v>150</v>
      </c>
      <c r="K100">
        <v>90.4</v>
      </c>
      <c r="L100">
        <v>128.4</v>
      </c>
      <c r="M100">
        <v>120.7</v>
      </c>
      <c r="N100">
        <v>132.5</v>
      </c>
      <c r="O100">
        <v>131.19999999999999</v>
      </c>
      <c r="P100">
        <v>111.9</v>
      </c>
      <c r="Q100">
        <v>127.9</v>
      </c>
      <c r="R100">
        <v>123.4</v>
      </c>
      <c r="S100">
        <v>127.2</v>
      </c>
      <c r="T100">
        <v>122.6</v>
      </c>
      <c r="U100">
        <v>121.6</v>
      </c>
      <c r="V100">
        <v>120.4</v>
      </c>
      <c r="W100">
        <v>111.3</v>
      </c>
      <c r="X100">
        <v>118.3</v>
      </c>
      <c r="Y100">
        <v>113.4</v>
      </c>
      <c r="Z100">
        <v>119.8</v>
      </c>
      <c r="AA100">
        <v>125.7</v>
      </c>
      <c r="AB100">
        <v>132</v>
      </c>
      <c r="AC100">
        <v>117.5</v>
      </c>
      <c r="AD100">
        <v>125.4</v>
      </c>
    </row>
    <row r="101" spans="1:30" x14ac:dyDescent="0.35">
      <c r="A101" t="s">
        <v>30</v>
      </c>
      <c r="B101">
        <v>2015</v>
      </c>
      <c r="C101" t="s">
        <v>42</v>
      </c>
      <c r="D101">
        <v>125.6</v>
      </c>
      <c r="E101">
        <v>130.4</v>
      </c>
      <c r="F101">
        <v>120.8</v>
      </c>
      <c r="G101">
        <v>129.4</v>
      </c>
      <c r="H101">
        <v>133.19999999999999</v>
      </c>
      <c r="I101">
        <v>157.69999999999999</v>
      </c>
      <c r="J101">
        <v>154.19999999999999</v>
      </c>
      <c r="K101">
        <v>93.7</v>
      </c>
      <c r="L101">
        <v>126.6</v>
      </c>
      <c r="M101">
        <v>122.3</v>
      </c>
      <c r="N101">
        <v>133.1</v>
      </c>
      <c r="O101">
        <v>131.80000000000001</v>
      </c>
      <c r="P101">
        <v>115.8</v>
      </c>
      <c r="Q101">
        <v>131.1</v>
      </c>
      <c r="R101">
        <v>127.3</v>
      </c>
      <c r="S101">
        <v>130.6</v>
      </c>
      <c r="T101">
        <v>125.1</v>
      </c>
      <c r="U101">
        <v>139.2551</v>
      </c>
      <c r="V101">
        <v>124.4</v>
      </c>
      <c r="W101">
        <v>113.8</v>
      </c>
      <c r="X101">
        <v>120.1</v>
      </c>
      <c r="Y101">
        <v>114.2</v>
      </c>
      <c r="Z101">
        <v>122</v>
      </c>
      <c r="AA101">
        <v>125.1</v>
      </c>
      <c r="AB101">
        <v>131.5</v>
      </c>
      <c r="AC101">
        <v>119.2</v>
      </c>
      <c r="AD101">
        <v>127.7</v>
      </c>
    </row>
    <row r="102" spans="1:30" x14ac:dyDescent="0.35">
      <c r="A102" t="s">
        <v>32</v>
      </c>
      <c r="B102">
        <v>2015</v>
      </c>
      <c r="C102" t="s">
        <v>42</v>
      </c>
      <c r="D102">
        <v>123.6</v>
      </c>
      <c r="E102">
        <v>128.6</v>
      </c>
      <c r="F102">
        <v>115.9</v>
      </c>
      <c r="G102">
        <v>128.5</v>
      </c>
      <c r="H102">
        <v>124.1</v>
      </c>
      <c r="I102">
        <v>165.8</v>
      </c>
      <c r="J102">
        <v>187.2</v>
      </c>
      <c r="K102">
        <v>89.4</v>
      </c>
      <c r="L102">
        <v>135.80000000000001</v>
      </c>
      <c r="M102">
        <v>119.4</v>
      </c>
      <c r="N102">
        <v>132.9</v>
      </c>
      <c r="O102">
        <v>132.6</v>
      </c>
      <c r="P102">
        <v>109</v>
      </c>
      <c r="Q102">
        <v>124.4</v>
      </c>
      <c r="R102">
        <v>118.8</v>
      </c>
      <c r="S102">
        <v>123.6</v>
      </c>
      <c r="T102">
        <v>120.7</v>
      </c>
      <c r="U102">
        <v>122.4</v>
      </c>
      <c r="V102">
        <v>114.9</v>
      </c>
      <c r="W102">
        <v>109.3</v>
      </c>
      <c r="X102">
        <v>117.7</v>
      </c>
      <c r="Y102">
        <v>113.5</v>
      </c>
      <c r="Z102">
        <v>117.7</v>
      </c>
      <c r="AA102">
        <v>126.5</v>
      </c>
      <c r="AB102">
        <v>135.30000000000001</v>
      </c>
      <c r="AC102">
        <v>116.5</v>
      </c>
      <c r="AD102">
        <v>124.2</v>
      </c>
    </row>
    <row r="103" spans="1:30" x14ac:dyDescent="0.35">
      <c r="A103" t="s">
        <v>33</v>
      </c>
      <c r="B103">
        <v>2015</v>
      </c>
      <c r="C103" t="s">
        <v>42</v>
      </c>
      <c r="D103">
        <v>125</v>
      </c>
      <c r="E103">
        <v>129.80000000000001</v>
      </c>
      <c r="F103">
        <v>118.9</v>
      </c>
      <c r="G103">
        <v>129.1</v>
      </c>
      <c r="H103">
        <v>129</v>
      </c>
      <c r="I103">
        <v>160.4</v>
      </c>
      <c r="J103">
        <v>165.3</v>
      </c>
      <c r="K103">
        <v>92.3</v>
      </c>
      <c r="L103">
        <v>129.69999999999999</v>
      </c>
      <c r="M103">
        <v>121.1</v>
      </c>
      <c r="N103">
        <v>133</v>
      </c>
      <c r="O103">
        <v>132.1</v>
      </c>
      <c r="P103">
        <v>113.3</v>
      </c>
      <c r="Q103">
        <v>128.5</v>
      </c>
      <c r="R103">
        <v>123.8</v>
      </c>
      <c r="S103">
        <v>127.8</v>
      </c>
      <c r="T103">
        <v>123</v>
      </c>
      <c r="U103">
        <v>122.4</v>
      </c>
      <c r="V103">
        <v>120.8</v>
      </c>
      <c r="W103">
        <v>111.4</v>
      </c>
      <c r="X103">
        <v>118.7</v>
      </c>
      <c r="Y103">
        <v>113.9</v>
      </c>
      <c r="Z103">
        <v>120.4</v>
      </c>
      <c r="AA103">
        <v>125.9</v>
      </c>
      <c r="AB103">
        <v>132.5</v>
      </c>
      <c r="AC103">
        <v>117.9</v>
      </c>
      <c r="AD103">
        <v>126.1</v>
      </c>
    </row>
    <row r="104" spans="1:30" x14ac:dyDescent="0.35">
      <c r="A104" t="s">
        <v>30</v>
      </c>
      <c r="B104">
        <v>2015</v>
      </c>
      <c r="C104" t="s">
        <v>44</v>
      </c>
      <c r="D104">
        <v>126.1</v>
      </c>
      <c r="E104">
        <v>130.6</v>
      </c>
      <c r="F104">
        <v>121.7</v>
      </c>
      <c r="G104">
        <v>129.5</v>
      </c>
      <c r="H104">
        <v>132.1</v>
      </c>
      <c r="I104">
        <v>155.19999999999999</v>
      </c>
      <c r="J104">
        <v>160.80000000000001</v>
      </c>
      <c r="K104">
        <v>94.5</v>
      </c>
      <c r="L104">
        <v>128.30000000000001</v>
      </c>
      <c r="M104">
        <v>123.1</v>
      </c>
      <c r="N104">
        <v>134.19999999999999</v>
      </c>
      <c r="O104">
        <v>132.4</v>
      </c>
      <c r="P104">
        <v>117.8</v>
      </c>
      <c r="Q104">
        <v>132.1</v>
      </c>
      <c r="R104">
        <v>128.19999999999999</v>
      </c>
      <c r="S104">
        <v>131.5</v>
      </c>
      <c r="T104">
        <v>125.6</v>
      </c>
      <c r="U104">
        <v>139.2551</v>
      </c>
      <c r="V104">
        <v>125.6</v>
      </c>
      <c r="W104">
        <v>114</v>
      </c>
      <c r="X104">
        <v>120.9</v>
      </c>
      <c r="Y104">
        <v>114.2</v>
      </c>
      <c r="Z104">
        <v>122.6</v>
      </c>
      <c r="AA104">
        <v>125.8</v>
      </c>
      <c r="AB104">
        <v>132.19999999999999</v>
      </c>
      <c r="AC104">
        <v>119.6</v>
      </c>
      <c r="AD104">
        <v>128.30000000000001</v>
      </c>
    </row>
    <row r="105" spans="1:30" x14ac:dyDescent="0.35">
      <c r="A105" t="s">
        <v>32</v>
      </c>
      <c r="B105">
        <v>2015</v>
      </c>
      <c r="C105" t="s">
        <v>44</v>
      </c>
      <c r="D105">
        <v>124</v>
      </c>
      <c r="E105">
        <v>129.80000000000001</v>
      </c>
      <c r="F105">
        <v>121.5</v>
      </c>
      <c r="G105">
        <v>128.6</v>
      </c>
      <c r="H105">
        <v>123.7</v>
      </c>
      <c r="I105">
        <v>164.6</v>
      </c>
      <c r="J105">
        <v>191.6</v>
      </c>
      <c r="K105">
        <v>90.8</v>
      </c>
      <c r="L105">
        <v>137.1</v>
      </c>
      <c r="M105">
        <v>119.8</v>
      </c>
      <c r="N105">
        <v>133.69999999999999</v>
      </c>
      <c r="O105">
        <v>133.30000000000001</v>
      </c>
      <c r="P105">
        <v>110</v>
      </c>
      <c r="Q105">
        <v>125</v>
      </c>
      <c r="R105">
        <v>119.3</v>
      </c>
      <c r="S105">
        <v>124.2</v>
      </c>
      <c r="T105">
        <v>121</v>
      </c>
      <c r="U105">
        <v>122.9</v>
      </c>
      <c r="V105">
        <v>115.1</v>
      </c>
      <c r="W105">
        <v>109.3</v>
      </c>
      <c r="X105">
        <v>117.9</v>
      </c>
      <c r="Y105">
        <v>113.3</v>
      </c>
      <c r="Z105">
        <v>118.1</v>
      </c>
      <c r="AA105">
        <v>126.6</v>
      </c>
      <c r="AB105">
        <v>137.6</v>
      </c>
      <c r="AC105">
        <v>116.6</v>
      </c>
      <c r="AD105">
        <v>124.6</v>
      </c>
    </row>
    <row r="106" spans="1:30" x14ac:dyDescent="0.35">
      <c r="A106" t="s">
        <v>33</v>
      </c>
      <c r="B106">
        <v>2015</v>
      </c>
      <c r="C106" t="s">
        <v>44</v>
      </c>
      <c r="D106">
        <v>125.4</v>
      </c>
      <c r="E106">
        <v>130.30000000000001</v>
      </c>
      <c r="F106">
        <v>121.6</v>
      </c>
      <c r="G106">
        <v>129.19999999999999</v>
      </c>
      <c r="H106">
        <v>128.19999999999999</v>
      </c>
      <c r="I106">
        <v>158.4</v>
      </c>
      <c r="J106">
        <v>171.2</v>
      </c>
      <c r="K106">
        <v>93.3</v>
      </c>
      <c r="L106">
        <v>131.19999999999999</v>
      </c>
      <c r="M106">
        <v>121.7</v>
      </c>
      <c r="N106">
        <v>134</v>
      </c>
      <c r="O106">
        <v>132.69999999999999</v>
      </c>
      <c r="P106">
        <v>114.9</v>
      </c>
      <c r="Q106">
        <v>129.30000000000001</v>
      </c>
      <c r="R106">
        <v>124.5</v>
      </c>
      <c r="S106">
        <v>128.6</v>
      </c>
      <c r="T106">
        <v>123.4</v>
      </c>
      <c r="U106">
        <v>122.9</v>
      </c>
      <c r="V106">
        <v>121.6</v>
      </c>
      <c r="W106">
        <v>111.5</v>
      </c>
      <c r="X106">
        <v>119.2</v>
      </c>
      <c r="Y106">
        <v>113.8</v>
      </c>
      <c r="Z106">
        <v>120.9</v>
      </c>
      <c r="AA106">
        <v>126.3</v>
      </c>
      <c r="AB106">
        <v>133.6</v>
      </c>
      <c r="AC106">
        <v>118.1</v>
      </c>
      <c r="AD106">
        <v>126.6</v>
      </c>
    </row>
    <row r="107" spans="1:30" x14ac:dyDescent="0.35">
      <c r="A107" t="s">
        <v>30</v>
      </c>
      <c r="B107">
        <v>2015</v>
      </c>
      <c r="C107" t="s">
        <v>45</v>
      </c>
      <c r="D107">
        <v>126.3</v>
      </c>
      <c r="E107">
        <v>131.30000000000001</v>
      </c>
      <c r="F107">
        <v>123.3</v>
      </c>
      <c r="G107">
        <v>129.80000000000001</v>
      </c>
      <c r="H107">
        <v>131.6</v>
      </c>
      <c r="I107">
        <v>145.5</v>
      </c>
      <c r="J107">
        <v>162.1</v>
      </c>
      <c r="K107">
        <v>95.4</v>
      </c>
      <c r="L107">
        <v>128.9</v>
      </c>
      <c r="M107">
        <v>123.3</v>
      </c>
      <c r="N107">
        <v>135.1</v>
      </c>
      <c r="O107">
        <v>131.4</v>
      </c>
      <c r="P107">
        <v>118.3</v>
      </c>
      <c r="Q107">
        <v>132.5</v>
      </c>
      <c r="R107">
        <v>128.5</v>
      </c>
      <c r="S107">
        <v>131.9</v>
      </c>
      <c r="T107">
        <v>126</v>
      </c>
      <c r="U107">
        <v>139.2551</v>
      </c>
      <c r="V107">
        <v>125.7</v>
      </c>
      <c r="W107">
        <v>114</v>
      </c>
      <c r="X107">
        <v>121.6</v>
      </c>
      <c r="Y107">
        <v>114.1</v>
      </c>
      <c r="Z107">
        <v>123.1</v>
      </c>
      <c r="AA107">
        <v>125.6</v>
      </c>
      <c r="AB107">
        <v>133.1</v>
      </c>
      <c r="AC107">
        <v>119.8</v>
      </c>
      <c r="AD107">
        <v>127.9</v>
      </c>
    </row>
    <row r="108" spans="1:30" x14ac:dyDescent="0.35">
      <c r="A108" t="s">
        <v>32</v>
      </c>
      <c r="B108">
        <v>2015</v>
      </c>
      <c r="C108" t="s">
        <v>45</v>
      </c>
      <c r="D108">
        <v>124.3</v>
      </c>
      <c r="E108">
        <v>131.69999999999999</v>
      </c>
      <c r="F108">
        <v>127.1</v>
      </c>
      <c r="G108">
        <v>128.6</v>
      </c>
      <c r="H108">
        <v>120.8</v>
      </c>
      <c r="I108">
        <v>149</v>
      </c>
      <c r="J108">
        <v>190.1</v>
      </c>
      <c r="K108">
        <v>92.7</v>
      </c>
      <c r="L108">
        <v>138.6</v>
      </c>
      <c r="M108">
        <v>120.2</v>
      </c>
      <c r="N108">
        <v>134.19999999999999</v>
      </c>
      <c r="O108">
        <v>131.5</v>
      </c>
      <c r="P108">
        <v>110</v>
      </c>
      <c r="Q108">
        <v>125.4</v>
      </c>
      <c r="R108">
        <v>119.5</v>
      </c>
      <c r="S108">
        <v>124.5</v>
      </c>
      <c r="T108">
        <v>121</v>
      </c>
      <c r="U108">
        <v>122.4</v>
      </c>
      <c r="V108">
        <v>116</v>
      </c>
      <c r="W108">
        <v>109.3</v>
      </c>
      <c r="X108">
        <v>118.1</v>
      </c>
      <c r="Y108">
        <v>113.2</v>
      </c>
      <c r="Z108">
        <v>118.6</v>
      </c>
      <c r="AA108">
        <v>126.6</v>
      </c>
      <c r="AB108">
        <v>138.19999999999999</v>
      </c>
      <c r="AC108">
        <v>116.7</v>
      </c>
      <c r="AD108">
        <v>124</v>
      </c>
    </row>
    <row r="109" spans="1:30" x14ac:dyDescent="0.35">
      <c r="A109" t="s">
        <v>33</v>
      </c>
      <c r="B109">
        <v>2015</v>
      </c>
      <c r="C109" t="s">
        <v>45</v>
      </c>
      <c r="D109">
        <v>125.7</v>
      </c>
      <c r="E109">
        <v>131.4</v>
      </c>
      <c r="F109">
        <v>124.8</v>
      </c>
      <c r="G109">
        <v>129.4</v>
      </c>
      <c r="H109">
        <v>126.6</v>
      </c>
      <c r="I109">
        <v>146.69999999999999</v>
      </c>
      <c r="J109">
        <v>171.5</v>
      </c>
      <c r="K109">
        <v>94.5</v>
      </c>
      <c r="L109">
        <v>132.1</v>
      </c>
      <c r="M109">
        <v>122</v>
      </c>
      <c r="N109">
        <v>134.69999999999999</v>
      </c>
      <c r="O109">
        <v>131.4</v>
      </c>
      <c r="P109">
        <v>115.3</v>
      </c>
      <c r="Q109">
        <v>129.69999999999999</v>
      </c>
      <c r="R109">
        <v>124.8</v>
      </c>
      <c r="S109">
        <v>129</v>
      </c>
      <c r="T109">
        <v>123.6</v>
      </c>
      <c r="U109">
        <v>122.4</v>
      </c>
      <c r="V109">
        <v>122</v>
      </c>
      <c r="W109">
        <v>111.5</v>
      </c>
      <c r="X109">
        <v>119.6</v>
      </c>
      <c r="Y109">
        <v>113.7</v>
      </c>
      <c r="Z109">
        <v>121.4</v>
      </c>
      <c r="AA109">
        <v>126.2</v>
      </c>
      <c r="AB109">
        <v>134.5</v>
      </c>
      <c r="AC109">
        <v>118.3</v>
      </c>
      <c r="AD109">
        <v>126.1</v>
      </c>
    </row>
    <row r="110" spans="1:30" x14ac:dyDescent="0.35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131.6</v>
      </c>
      <c r="I110">
        <v>140.1</v>
      </c>
      <c r="J110">
        <v>163.80000000000001</v>
      </c>
      <c r="K110">
        <v>97.7</v>
      </c>
      <c r="L110">
        <v>129.6</v>
      </c>
      <c r="M110">
        <v>124.3</v>
      </c>
      <c r="N110">
        <v>135.9</v>
      </c>
      <c r="O110">
        <v>131.4</v>
      </c>
      <c r="P110">
        <v>118.9</v>
      </c>
      <c r="Q110">
        <v>133.19999999999999</v>
      </c>
      <c r="R110">
        <v>128.9</v>
      </c>
      <c r="S110">
        <v>132.6</v>
      </c>
      <c r="T110">
        <v>126.6</v>
      </c>
      <c r="U110">
        <v>139.2551</v>
      </c>
      <c r="V110">
        <v>126.2</v>
      </c>
      <c r="W110">
        <v>113.6</v>
      </c>
      <c r="X110">
        <v>121.4</v>
      </c>
      <c r="Y110">
        <v>114.9</v>
      </c>
      <c r="Z110">
        <v>123.7</v>
      </c>
      <c r="AA110">
        <v>126.2</v>
      </c>
      <c r="AB110">
        <v>133.6</v>
      </c>
      <c r="AC110">
        <v>120.1</v>
      </c>
      <c r="AD110">
        <v>128.1</v>
      </c>
    </row>
    <row r="111" spans="1:30" x14ac:dyDescent="0.35">
      <c r="A111" t="s">
        <v>32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119</v>
      </c>
      <c r="I111">
        <v>144.1</v>
      </c>
      <c r="J111">
        <v>184.2</v>
      </c>
      <c r="K111">
        <v>96.7</v>
      </c>
      <c r="L111">
        <v>139.5</v>
      </c>
      <c r="M111">
        <v>120.5</v>
      </c>
      <c r="N111">
        <v>134.69999999999999</v>
      </c>
      <c r="O111">
        <v>131.19999999999999</v>
      </c>
      <c r="P111">
        <v>109.7</v>
      </c>
      <c r="Q111">
        <v>125.8</v>
      </c>
      <c r="R111">
        <v>119.8</v>
      </c>
      <c r="S111">
        <v>124.9</v>
      </c>
      <c r="T111">
        <v>121.6</v>
      </c>
      <c r="U111">
        <v>123.4</v>
      </c>
      <c r="V111">
        <v>116.9</v>
      </c>
      <c r="W111">
        <v>108.9</v>
      </c>
      <c r="X111">
        <v>118.5</v>
      </c>
      <c r="Y111">
        <v>114</v>
      </c>
      <c r="Z111">
        <v>119.1</v>
      </c>
      <c r="AA111">
        <v>126.4</v>
      </c>
      <c r="AB111">
        <v>139.5</v>
      </c>
      <c r="AC111">
        <v>116.8</v>
      </c>
      <c r="AD111">
        <v>124.2</v>
      </c>
    </row>
    <row r="112" spans="1:30" x14ac:dyDescent="0.35">
      <c r="A112" t="s">
        <v>33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125.7</v>
      </c>
      <c r="I112">
        <v>141.5</v>
      </c>
      <c r="J112">
        <v>170.7</v>
      </c>
      <c r="K112">
        <v>97.4</v>
      </c>
      <c r="L112">
        <v>132.9</v>
      </c>
      <c r="M112">
        <v>122.7</v>
      </c>
      <c r="N112">
        <v>135.30000000000001</v>
      </c>
      <c r="O112">
        <v>131.30000000000001</v>
      </c>
      <c r="P112">
        <v>115.5</v>
      </c>
      <c r="Q112">
        <v>130.30000000000001</v>
      </c>
      <c r="R112">
        <v>125.1</v>
      </c>
      <c r="S112">
        <v>129.5</v>
      </c>
      <c r="T112">
        <v>124.2</v>
      </c>
      <c r="U112">
        <v>123.4</v>
      </c>
      <c r="V112">
        <v>122.7</v>
      </c>
      <c r="W112">
        <v>111.1</v>
      </c>
      <c r="X112">
        <v>119.8</v>
      </c>
      <c r="Y112">
        <v>114.5</v>
      </c>
      <c r="Z112">
        <v>122</v>
      </c>
      <c r="AA112">
        <v>126.3</v>
      </c>
      <c r="AB112">
        <v>135.19999999999999</v>
      </c>
      <c r="AC112">
        <v>118.5</v>
      </c>
      <c r="AD112">
        <v>126.3</v>
      </c>
    </row>
    <row r="113" spans="1:30" x14ac:dyDescent="0.35">
      <c r="A113" t="s">
        <v>30</v>
      </c>
      <c r="B113">
        <v>2016</v>
      </c>
      <c r="C113" t="s">
        <v>34</v>
      </c>
      <c r="D113">
        <v>127.1</v>
      </c>
      <c r="E113">
        <v>133.69999999999999</v>
      </c>
      <c r="F113">
        <v>127.7</v>
      </c>
      <c r="G113">
        <v>130.69999999999999</v>
      </c>
      <c r="H113">
        <v>130.4</v>
      </c>
      <c r="I113">
        <v>130.9</v>
      </c>
      <c r="J113">
        <v>162.80000000000001</v>
      </c>
      <c r="K113">
        <v>98.7</v>
      </c>
      <c r="L113">
        <v>130.6</v>
      </c>
      <c r="M113">
        <v>124.8</v>
      </c>
      <c r="N113">
        <v>136.4</v>
      </c>
      <c r="O113">
        <v>130.30000000000001</v>
      </c>
      <c r="P113">
        <v>118.5</v>
      </c>
      <c r="Q113">
        <v>133.9</v>
      </c>
      <c r="R113">
        <v>129.80000000000001</v>
      </c>
      <c r="S113">
        <v>133.4</v>
      </c>
      <c r="T113">
        <v>127.1</v>
      </c>
      <c r="U113">
        <v>139.2551</v>
      </c>
      <c r="V113">
        <v>127.5</v>
      </c>
      <c r="W113">
        <v>113.9</v>
      </c>
      <c r="X113">
        <v>122.3</v>
      </c>
      <c r="Y113">
        <v>116.8</v>
      </c>
      <c r="Z113">
        <v>124.3</v>
      </c>
      <c r="AA113">
        <v>127.1</v>
      </c>
      <c r="AB113">
        <v>134.4</v>
      </c>
      <c r="AC113">
        <v>120.9</v>
      </c>
      <c r="AD113">
        <v>127.9</v>
      </c>
    </row>
    <row r="114" spans="1:30" x14ac:dyDescent="0.35">
      <c r="A114" t="s">
        <v>32</v>
      </c>
      <c r="B114">
        <v>2016</v>
      </c>
      <c r="C114" t="s">
        <v>34</v>
      </c>
      <c r="D114">
        <v>124.8</v>
      </c>
      <c r="E114">
        <v>135.1</v>
      </c>
      <c r="F114">
        <v>130.30000000000001</v>
      </c>
      <c r="G114">
        <v>129.6</v>
      </c>
      <c r="H114">
        <v>118.6</v>
      </c>
      <c r="I114">
        <v>129.19999999999999</v>
      </c>
      <c r="J114">
        <v>176.4</v>
      </c>
      <c r="K114">
        <v>99.1</v>
      </c>
      <c r="L114">
        <v>139.69999999999999</v>
      </c>
      <c r="M114">
        <v>120.6</v>
      </c>
      <c r="N114">
        <v>135.19999999999999</v>
      </c>
      <c r="O114">
        <v>129.1</v>
      </c>
      <c r="P114">
        <v>108.4</v>
      </c>
      <c r="Q114">
        <v>126.2</v>
      </c>
      <c r="R114">
        <v>120.1</v>
      </c>
      <c r="S114">
        <v>125.3</v>
      </c>
      <c r="T114">
        <v>121.8</v>
      </c>
      <c r="U114">
        <v>124.4</v>
      </c>
      <c r="V114">
        <v>116</v>
      </c>
      <c r="W114">
        <v>109.1</v>
      </c>
      <c r="X114">
        <v>118.8</v>
      </c>
      <c r="Y114">
        <v>116.2</v>
      </c>
      <c r="Z114">
        <v>119.5</v>
      </c>
      <c r="AA114">
        <v>126.3</v>
      </c>
      <c r="AB114">
        <v>140</v>
      </c>
      <c r="AC114">
        <v>117.2</v>
      </c>
      <c r="AD114">
        <v>123.8</v>
      </c>
    </row>
    <row r="115" spans="1:30" x14ac:dyDescent="0.35">
      <c r="A115" t="s">
        <v>33</v>
      </c>
      <c r="B115">
        <v>2016</v>
      </c>
      <c r="C115" t="s">
        <v>34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124.9</v>
      </c>
      <c r="I115">
        <v>130.30000000000001</v>
      </c>
      <c r="J115">
        <v>167.4</v>
      </c>
      <c r="K115">
        <v>98.8</v>
      </c>
      <c r="L115">
        <v>133.6</v>
      </c>
      <c r="M115">
        <v>123</v>
      </c>
      <c r="N115">
        <v>135.80000000000001</v>
      </c>
      <c r="O115">
        <v>129.9</v>
      </c>
      <c r="P115">
        <v>114.8</v>
      </c>
      <c r="Q115">
        <v>130.9</v>
      </c>
      <c r="R115">
        <v>125.8</v>
      </c>
      <c r="S115">
        <v>130.19999999999999</v>
      </c>
      <c r="T115">
        <v>124.6</v>
      </c>
      <c r="U115">
        <v>124.4</v>
      </c>
      <c r="V115">
        <v>123.1</v>
      </c>
      <c r="W115">
        <v>111.4</v>
      </c>
      <c r="X115">
        <v>120.3</v>
      </c>
      <c r="Y115">
        <v>116.6</v>
      </c>
      <c r="Z115">
        <v>122.5</v>
      </c>
      <c r="AA115">
        <v>126.6</v>
      </c>
      <c r="AB115">
        <v>135.9</v>
      </c>
      <c r="AC115">
        <v>119.1</v>
      </c>
      <c r="AD115">
        <v>126</v>
      </c>
    </row>
    <row r="116" spans="1:30" x14ac:dyDescent="0.35">
      <c r="A116" t="s">
        <v>30</v>
      </c>
      <c r="B116">
        <v>2016</v>
      </c>
      <c r="C116" t="s">
        <v>35</v>
      </c>
      <c r="D116">
        <v>127.3</v>
      </c>
      <c r="E116">
        <v>134.4</v>
      </c>
      <c r="F116">
        <v>125.1</v>
      </c>
      <c r="G116">
        <v>130.5</v>
      </c>
      <c r="H116">
        <v>131.69999999999999</v>
      </c>
      <c r="I116">
        <v>130.69999999999999</v>
      </c>
      <c r="J116">
        <v>161.19999999999999</v>
      </c>
      <c r="K116">
        <v>100.4</v>
      </c>
      <c r="L116">
        <v>130.80000000000001</v>
      </c>
      <c r="M116">
        <v>124.9</v>
      </c>
      <c r="N116">
        <v>137</v>
      </c>
      <c r="O116">
        <v>130.4</v>
      </c>
      <c r="P116">
        <v>118.3</v>
      </c>
      <c r="Q116">
        <v>134.4</v>
      </c>
      <c r="R116">
        <v>130.19999999999999</v>
      </c>
      <c r="S116">
        <v>133.80000000000001</v>
      </c>
      <c r="T116">
        <v>127.7</v>
      </c>
      <c r="U116">
        <v>139.2551</v>
      </c>
      <c r="V116">
        <v>127</v>
      </c>
      <c r="W116">
        <v>113.6</v>
      </c>
      <c r="X116">
        <v>122.5</v>
      </c>
      <c r="Y116">
        <v>117.4</v>
      </c>
      <c r="Z116">
        <v>124.8</v>
      </c>
      <c r="AA116">
        <v>127.5</v>
      </c>
      <c r="AB116">
        <v>135</v>
      </c>
      <c r="AC116">
        <v>121.1</v>
      </c>
      <c r="AD116">
        <v>128</v>
      </c>
    </row>
    <row r="117" spans="1:30" x14ac:dyDescent="0.35">
      <c r="A117" t="s">
        <v>32</v>
      </c>
      <c r="B117">
        <v>2016</v>
      </c>
      <c r="C117" t="s">
        <v>35</v>
      </c>
      <c r="D117">
        <v>124.8</v>
      </c>
      <c r="E117">
        <v>136.30000000000001</v>
      </c>
      <c r="F117">
        <v>123.7</v>
      </c>
      <c r="G117">
        <v>129.69999999999999</v>
      </c>
      <c r="H117">
        <v>119.9</v>
      </c>
      <c r="I117">
        <v>128.1</v>
      </c>
      <c r="J117">
        <v>170.3</v>
      </c>
      <c r="K117">
        <v>101.8</v>
      </c>
      <c r="L117">
        <v>140.1</v>
      </c>
      <c r="M117">
        <v>120.7</v>
      </c>
      <c r="N117">
        <v>135.4</v>
      </c>
      <c r="O117">
        <v>128.9</v>
      </c>
      <c r="P117">
        <v>107.9</v>
      </c>
      <c r="Q117">
        <v>126.4</v>
      </c>
      <c r="R117">
        <v>120.3</v>
      </c>
      <c r="S117">
        <v>125.5</v>
      </c>
      <c r="T117">
        <v>122.3</v>
      </c>
      <c r="U117">
        <v>124.9</v>
      </c>
      <c r="V117">
        <v>114.8</v>
      </c>
      <c r="W117">
        <v>108.5</v>
      </c>
      <c r="X117">
        <v>119.1</v>
      </c>
      <c r="Y117">
        <v>117.1</v>
      </c>
      <c r="Z117">
        <v>119.7</v>
      </c>
      <c r="AA117">
        <v>126.4</v>
      </c>
      <c r="AB117">
        <v>140.6</v>
      </c>
      <c r="AC117">
        <v>117.3</v>
      </c>
      <c r="AD117">
        <v>123.8</v>
      </c>
    </row>
    <row r="118" spans="1:30" x14ac:dyDescent="0.35">
      <c r="A118" t="s">
        <v>33</v>
      </c>
      <c r="B118">
        <v>2016</v>
      </c>
      <c r="C118" t="s">
        <v>35</v>
      </c>
      <c r="D118">
        <v>126.5</v>
      </c>
      <c r="E118">
        <v>135.1</v>
      </c>
      <c r="F118">
        <v>124.6</v>
      </c>
      <c r="G118">
        <v>130.19999999999999</v>
      </c>
      <c r="H118">
        <v>126.2</v>
      </c>
      <c r="I118">
        <v>129.80000000000001</v>
      </c>
      <c r="J118">
        <v>164.3</v>
      </c>
      <c r="K118">
        <v>100.9</v>
      </c>
      <c r="L118">
        <v>133.9</v>
      </c>
      <c r="M118">
        <v>123.1</v>
      </c>
      <c r="N118">
        <v>136.30000000000001</v>
      </c>
      <c r="O118">
        <v>129.80000000000001</v>
      </c>
      <c r="P118">
        <v>114.5</v>
      </c>
      <c r="Q118">
        <v>131.30000000000001</v>
      </c>
      <c r="R118">
        <v>126.1</v>
      </c>
      <c r="S118">
        <v>130.5</v>
      </c>
      <c r="T118">
        <v>125.1</v>
      </c>
      <c r="U118">
        <v>124.9</v>
      </c>
      <c r="V118">
        <v>122.4</v>
      </c>
      <c r="W118">
        <v>110.9</v>
      </c>
      <c r="X118">
        <v>120.6</v>
      </c>
      <c r="Y118">
        <v>117.3</v>
      </c>
      <c r="Z118">
        <v>122.9</v>
      </c>
      <c r="AA118">
        <v>126.9</v>
      </c>
      <c r="AB118">
        <v>136.5</v>
      </c>
      <c r="AC118">
        <v>119.3</v>
      </c>
      <c r="AD118">
        <v>126</v>
      </c>
    </row>
    <row r="119" spans="1:30" x14ac:dyDescent="0.35">
      <c r="A119" t="s">
        <v>30</v>
      </c>
      <c r="B119">
        <v>2016</v>
      </c>
      <c r="C119" t="s">
        <v>36</v>
      </c>
      <c r="D119">
        <v>127.4</v>
      </c>
      <c r="E119">
        <v>135.4</v>
      </c>
      <c r="F119">
        <v>123.4</v>
      </c>
      <c r="G119">
        <v>131.30000000000001</v>
      </c>
      <c r="H119">
        <v>138.1</v>
      </c>
      <c r="I119">
        <v>134.1</v>
      </c>
      <c r="J119">
        <v>162.69999999999999</v>
      </c>
      <c r="K119">
        <v>105</v>
      </c>
      <c r="L119">
        <v>131.4</v>
      </c>
      <c r="M119">
        <v>125.4</v>
      </c>
      <c r="N119">
        <v>137.4</v>
      </c>
      <c r="O119">
        <v>131.80000000000001</v>
      </c>
      <c r="P119">
        <v>118.2</v>
      </c>
      <c r="Q119">
        <v>135</v>
      </c>
      <c r="R119">
        <v>130.6</v>
      </c>
      <c r="S119">
        <v>134.4</v>
      </c>
      <c r="T119">
        <v>128</v>
      </c>
      <c r="U119">
        <v>139.2551</v>
      </c>
      <c r="V119">
        <v>127</v>
      </c>
      <c r="W119">
        <v>114.4</v>
      </c>
      <c r="X119">
        <v>123.2</v>
      </c>
      <c r="Y119">
        <v>118.4</v>
      </c>
      <c r="Z119">
        <v>125.2</v>
      </c>
      <c r="AA119">
        <v>127.9</v>
      </c>
      <c r="AB119">
        <v>135.5</v>
      </c>
      <c r="AC119">
        <v>121.7</v>
      </c>
      <c r="AD119">
        <v>129</v>
      </c>
    </row>
    <row r="120" spans="1:30" x14ac:dyDescent="0.35">
      <c r="A120" t="s">
        <v>32</v>
      </c>
      <c r="B120">
        <v>2016</v>
      </c>
      <c r="C120" t="s">
        <v>36</v>
      </c>
      <c r="D120">
        <v>124.9</v>
      </c>
      <c r="E120">
        <v>139.30000000000001</v>
      </c>
      <c r="F120">
        <v>119.9</v>
      </c>
      <c r="G120">
        <v>130.19999999999999</v>
      </c>
      <c r="H120">
        <v>131.1</v>
      </c>
      <c r="I120">
        <v>136.80000000000001</v>
      </c>
      <c r="J120">
        <v>176.9</v>
      </c>
      <c r="K120">
        <v>109.1</v>
      </c>
      <c r="L120">
        <v>140.4</v>
      </c>
      <c r="M120">
        <v>121.1</v>
      </c>
      <c r="N120">
        <v>135.9</v>
      </c>
      <c r="O120">
        <v>131.80000000000001</v>
      </c>
      <c r="P120">
        <v>108.9</v>
      </c>
      <c r="Q120">
        <v>126.8</v>
      </c>
      <c r="R120">
        <v>120.5</v>
      </c>
      <c r="S120">
        <v>125.8</v>
      </c>
      <c r="T120">
        <v>122.8</v>
      </c>
      <c r="U120">
        <v>125.6</v>
      </c>
      <c r="V120">
        <v>114.6</v>
      </c>
      <c r="W120">
        <v>110</v>
      </c>
      <c r="X120">
        <v>119.5</v>
      </c>
      <c r="Y120">
        <v>117.6</v>
      </c>
      <c r="Z120">
        <v>120</v>
      </c>
      <c r="AA120">
        <v>127.6</v>
      </c>
      <c r="AB120">
        <v>141.5</v>
      </c>
      <c r="AC120">
        <v>118.2</v>
      </c>
      <c r="AD120">
        <v>125.3</v>
      </c>
    </row>
    <row r="121" spans="1:30" x14ac:dyDescent="0.35">
      <c r="A121" t="s">
        <v>33</v>
      </c>
      <c r="B121">
        <v>2016</v>
      </c>
      <c r="C121" t="s">
        <v>36</v>
      </c>
      <c r="D121">
        <v>126.6</v>
      </c>
      <c r="E121">
        <v>136.80000000000001</v>
      </c>
      <c r="F121">
        <v>122</v>
      </c>
      <c r="G121">
        <v>130.9</v>
      </c>
      <c r="H121">
        <v>134.80000000000001</v>
      </c>
      <c r="I121">
        <v>135</v>
      </c>
      <c r="J121">
        <v>167.5</v>
      </c>
      <c r="K121">
        <v>106.4</v>
      </c>
      <c r="L121">
        <v>134.4</v>
      </c>
      <c r="M121">
        <v>123.6</v>
      </c>
      <c r="N121">
        <v>136.69999999999999</v>
      </c>
      <c r="O121">
        <v>131.80000000000001</v>
      </c>
      <c r="P121">
        <v>114.8</v>
      </c>
      <c r="Q121">
        <v>131.80000000000001</v>
      </c>
      <c r="R121">
        <v>126.4</v>
      </c>
      <c r="S121">
        <v>131</v>
      </c>
      <c r="T121">
        <v>125.5</v>
      </c>
      <c r="U121">
        <v>125.6</v>
      </c>
      <c r="V121">
        <v>122.3</v>
      </c>
      <c r="W121">
        <v>112.1</v>
      </c>
      <c r="X121">
        <v>121.1</v>
      </c>
      <c r="Y121">
        <v>118.1</v>
      </c>
      <c r="Z121">
        <v>123.2</v>
      </c>
      <c r="AA121">
        <v>127.7</v>
      </c>
      <c r="AB121">
        <v>137.1</v>
      </c>
      <c r="AC121">
        <v>120</v>
      </c>
      <c r="AD121">
        <v>127.3</v>
      </c>
    </row>
    <row r="122" spans="1:30" x14ac:dyDescent="0.35">
      <c r="A122" t="s">
        <v>30</v>
      </c>
      <c r="B122">
        <v>2016</v>
      </c>
      <c r="C122" t="s">
        <v>37</v>
      </c>
      <c r="D122">
        <v>127.6</v>
      </c>
      <c r="E122">
        <v>137.5</v>
      </c>
      <c r="F122">
        <v>124.4</v>
      </c>
      <c r="G122">
        <v>132.4</v>
      </c>
      <c r="H122">
        <v>138.1</v>
      </c>
      <c r="I122">
        <v>141.80000000000001</v>
      </c>
      <c r="J122">
        <v>166</v>
      </c>
      <c r="K122">
        <v>107.5</v>
      </c>
      <c r="L122">
        <v>132.19999999999999</v>
      </c>
      <c r="M122">
        <v>126.1</v>
      </c>
      <c r="N122">
        <v>138.30000000000001</v>
      </c>
      <c r="O122">
        <v>133.6</v>
      </c>
      <c r="P122">
        <v>118.2</v>
      </c>
      <c r="Q122">
        <v>135.4</v>
      </c>
      <c r="R122">
        <v>131.1</v>
      </c>
      <c r="S122">
        <v>134.80000000000001</v>
      </c>
      <c r="T122">
        <v>128.5</v>
      </c>
      <c r="U122">
        <v>139.2551</v>
      </c>
      <c r="V122">
        <v>127.4</v>
      </c>
      <c r="W122">
        <v>115.1</v>
      </c>
      <c r="X122">
        <v>123.6</v>
      </c>
      <c r="Y122">
        <v>119.7</v>
      </c>
      <c r="Z122">
        <v>125.8</v>
      </c>
      <c r="AA122">
        <v>129.1</v>
      </c>
      <c r="AB122">
        <v>136</v>
      </c>
      <c r="AC122">
        <v>122.5</v>
      </c>
      <c r="AD122">
        <v>130.30000000000001</v>
      </c>
    </row>
    <row r="123" spans="1:30" x14ac:dyDescent="0.35">
      <c r="A123" t="s">
        <v>32</v>
      </c>
      <c r="B123">
        <v>2016</v>
      </c>
      <c r="C123" t="s">
        <v>37</v>
      </c>
      <c r="D123">
        <v>125</v>
      </c>
      <c r="E123">
        <v>142.1</v>
      </c>
      <c r="F123">
        <v>127</v>
      </c>
      <c r="G123">
        <v>130.4</v>
      </c>
      <c r="H123">
        <v>133.5</v>
      </c>
      <c r="I123">
        <v>151.4</v>
      </c>
      <c r="J123">
        <v>182.8</v>
      </c>
      <c r="K123">
        <v>111.1</v>
      </c>
      <c r="L123">
        <v>141.5</v>
      </c>
      <c r="M123">
        <v>121.5</v>
      </c>
      <c r="N123">
        <v>136.30000000000001</v>
      </c>
      <c r="O123">
        <v>134.6</v>
      </c>
      <c r="P123">
        <v>109.6</v>
      </c>
      <c r="Q123">
        <v>127.2</v>
      </c>
      <c r="R123">
        <v>120.7</v>
      </c>
      <c r="S123">
        <v>126.2</v>
      </c>
      <c r="T123">
        <v>123.2</v>
      </c>
      <c r="U123">
        <v>126</v>
      </c>
      <c r="V123">
        <v>115</v>
      </c>
      <c r="W123">
        <v>110.7</v>
      </c>
      <c r="X123">
        <v>119.8</v>
      </c>
      <c r="Y123">
        <v>118.5</v>
      </c>
      <c r="Z123">
        <v>120.3</v>
      </c>
      <c r="AA123">
        <v>128</v>
      </c>
      <c r="AB123">
        <v>142.19999999999999</v>
      </c>
      <c r="AC123">
        <v>118.7</v>
      </c>
      <c r="AD123">
        <v>126.6</v>
      </c>
    </row>
    <row r="124" spans="1:30" x14ac:dyDescent="0.35">
      <c r="A124" t="s">
        <v>33</v>
      </c>
      <c r="B124">
        <v>2016</v>
      </c>
      <c r="C124" t="s">
        <v>37</v>
      </c>
      <c r="D124">
        <v>126.8</v>
      </c>
      <c r="E124">
        <v>139.1</v>
      </c>
      <c r="F124">
        <v>125.4</v>
      </c>
      <c r="G124">
        <v>131.69999999999999</v>
      </c>
      <c r="H124">
        <v>136</v>
      </c>
      <c r="I124">
        <v>145.1</v>
      </c>
      <c r="J124">
        <v>171.7</v>
      </c>
      <c r="K124">
        <v>108.7</v>
      </c>
      <c r="L124">
        <v>135.30000000000001</v>
      </c>
      <c r="M124">
        <v>124.2</v>
      </c>
      <c r="N124">
        <v>137.4</v>
      </c>
      <c r="O124">
        <v>134</v>
      </c>
      <c r="P124">
        <v>115</v>
      </c>
      <c r="Q124">
        <v>132.19999999999999</v>
      </c>
      <c r="R124">
        <v>126.8</v>
      </c>
      <c r="S124">
        <v>131.4</v>
      </c>
      <c r="T124">
        <v>126</v>
      </c>
      <c r="U124">
        <v>126</v>
      </c>
      <c r="V124">
        <v>122.7</v>
      </c>
      <c r="W124">
        <v>112.8</v>
      </c>
      <c r="X124">
        <v>121.5</v>
      </c>
      <c r="Y124">
        <v>119.2</v>
      </c>
      <c r="Z124">
        <v>123.7</v>
      </c>
      <c r="AA124">
        <v>128.5</v>
      </c>
      <c r="AB124">
        <v>137.69999999999999</v>
      </c>
      <c r="AC124">
        <v>120.7</v>
      </c>
      <c r="AD124">
        <v>128.6</v>
      </c>
    </row>
    <row r="125" spans="1:30" x14ac:dyDescent="0.35">
      <c r="A125" t="s">
        <v>30</v>
      </c>
      <c r="B125">
        <v>2016</v>
      </c>
      <c r="C125" t="s">
        <v>38</v>
      </c>
      <c r="D125">
        <v>128.6</v>
      </c>
      <c r="E125">
        <v>138.6</v>
      </c>
      <c r="F125">
        <v>126.6</v>
      </c>
      <c r="G125">
        <v>133.6</v>
      </c>
      <c r="H125">
        <v>137.4</v>
      </c>
      <c r="I125">
        <v>152.5</v>
      </c>
      <c r="J125">
        <v>169.2</v>
      </c>
      <c r="K125">
        <v>108.8</v>
      </c>
      <c r="L125">
        <v>133.1</v>
      </c>
      <c r="M125">
        <v>126.4</v>
      </c>
      <c r="N125">
        <v>139.19999999999999</v>
      </c>
      <c r="O125">
        <v>136</v>
      </c>
      <c r="P125">
        <v>118.6</v>
      </c>
      <c r="Q125">
        <v>136.30000000000001</v>
      </c>
      <c r="R125">
        <v>131.6</v>
      </c>
      <c r="S125">
        <v>135.6</v>
      </c>
      <c r="T125">
        <v>129.30000000000001</v>
      </c>
      <c r="U125">
        <v>139.2551</v>
      </c>
      <c r="V125">
        <v>128</v>
      </c>
      <c r="W125">
        <v>116.3</v>
      </c>
      <c r="X125">
        <v>124.1</v>
      </c>
      <c r="Y125">
        <v>119.9</v>
      </c>
      <c r="Z125">
        <v>126.2</v>
      </c>
      <c r="AA125">
        <v>130.19999999999999</v>
      </c>
      <c r="AB125">
        <v>137.19999999999999</v>
      </c>
      <c r="AC125">
        <v>123.3</v>
      </c>
      <c r="AD125">
        <v>131.9</v>
      </c>
    </row>
    <row r="126" spans="1:30" x14ac:dyDescent="0.35">
      <c r="A126" t="s">
        <v>32</v>
      </c>
      <c r="B126">
        <v>2016</v>
      </c>
      <c r="C126" t="s">
        <v>38</v>
      </c>
      <c r="D126">
        <v>125.9</v>
      </c>
      <c r="E126">
        <v>143.9</v>
      </c>
      <c r="F126">
        <v>130.9</v>
      </c>
      <c r="G126">
        <v>131</v>
      </c>
      <c r="H126">
        <v>135.5</v>
      </c>
      <c r="I126">
        <v>173.7</v>
      </c>
      <c r="J126">
        <v>184.4</v>
      </c>
      <c r="K126">
        <v>112</v>
      </c>
      <c r="L126">
        <v>142.80000000000001</v>
      </c>
      <c r="M126">
        <v>121.6</v>
      </c>
      <c r="N126">
        <v>136.9</v>
      </c>
      <c r="O126">
        <v>138.19999999999999</v>
      </c>
      <c r="P126">
        <v>110.2</v>
      </c>
      <c r="Q126">
        <v>127.6</v>
      </c>
      <c r="R126">
        <v>121.1</v>
      </c>
      <c r="S126">
        <v>126.6</v>
      </c>
      <c r="T126">
        <v>123.2</v>
      </c>
      <c r="U126">
        <v>125.5</v>
      </c>
      <c r="V126">
        <v>115.5</v>
      </c>
      <c r="W126">
        <v>112.3</v>
      </c>
      <c r="X126">
        <v>119.9</v>
      </c>
      <c r="Y126">
        <v>118.8</v>
      </c>
      <c r="Z126">
        <v>120.6</v>
      </c>
      <c r="AA126">
        <v>129.30000000000001</v>
      </c>
      <c r="AB126">
        <v>142.69999999999999</v>
      </c>
      <c r="AC126">
        <v>119.6</v>
      </c>
      <c r="AD126">
        <v>128.1</v>
      </c>
    </row>
    <row r="127" spans="1:30" x14ac:dyDescent="0.35">
      <c r="A127" t="s">
        <v>33</v>
      </c>
      <c r="B127">
        <v>2016</v>
      </c>
      <c r="C127" t="s">
        <v>38</v>
      </c>
      <c r="D127">
        <v>127.7</v>
      </c>
      <c r="E127">
        <v>140.5</v>
      </c>
      <c r="F127">
        <v>128.30000000000001</v>
      </c>
      <c r="G127">
        <v>132.6</v>
      </c>
      <c r="H127">
        <v>136.5</v>
      </c>
      <c r="I127">
        <v>159.69999999999999</v>
      </c>
      <c r="J127">
        <v>174.3</v>
      </c>
      <c r="K127">
        <v>109.9</v>
      </c>
      <c r="L127">
        <v>136.30000000000001</v>
      </c>
      <c r="M127">
        <v>124.4</v>
      </c>
      <c r="N127">
        <v>138.1</v>
      </c>
      <c r="O127">
        <v>136.80000000000001</v>
      </c>
      <c r="P127">
        <v>115.5</v>
      </c>
      <c r="Q127">
        <v>132.9</v>
      </c>
      <c r="R127">
        <v>127.2</v>
      </c>
      <c r="S127">
        <v>132</v>
      </c>
      <c r="T127">
        <v>126.4</v>
      </c>
      <c r="U127">
        <v>125.5</v>
      </c>
      <c r="V127">
        <v>123.3</v>
      </c>
      <c r="W127">
        <v>114.2</v>
      </c>
      <c r="X127">
        <v>121.7</v>
      </c>
      <c r="Y127">
        <v>119.4</v>
      </c>
      <c r="Z127">
        <v>124.1</v>
      </c>
      <c r="AA127">
        <v>129.69999999999999</v>
      </c>
      <c r="AB127">
        <v>138.69999999999999</v>
      </c>
      <c r="AC127">
        <v>121.5</v>
      </c>
      <c r="AD127">
        <v>130.1</v>
      </c>
    </row>
    <row r="128" spans="1:30" x14ac:dyDescent="0.35">
      <c r="A128" t="s">
        <v>30</v>
      </c>
      <c r="B128">
        <v>2016</v>
      </c>
      <c r="C128" t="s">
        <v>39</v>
      </c>
      <c r="D128">
        <v>129.30000000000001</v>
      </c>
      <c r="E128">
        <v>139.5</v>
      </c>
      <c r="F128">
        <v>129.6</v>
      </c>
      <c r="G128">
        <v>134.5</v>
      </c>
      <c r="H128">
        <v>138.5</v>
      </c>
      <c r="I128">
        <v>158.19999999999999</v>
      </c>
      <c r="J128">
        <v>171.8</v>
      </c>
      <c r="K128">
        <v>110.3</v>
      </c>
      <c r="L128">
        <v>134.30000000000001</v>
      </c>
      <c r="M128">
        <v>127.3</v>
      </c>
      <c r="N128">
        <v>139.9</v>
      </c>
      <c r="O128">
        <v>137.6</v>
      </c>
      <c r="P128">
        <v>119.5</v>
      </c>
      <c r="Q128">
        <v>137.19999999999999</v>
      </c>
      <c r="R128">
        <v>132.19999999999999</v>
      </c>
      <c r="S128">
        <v>136.5</v>
      </c>
      <c r="T128">
        <v>130</v>
      </c>
      <c r="U128">
        <v>139.2551</v>
      </c>
      <c r="V128">
        <v>128.19999999999999</v>
      </c>
      <c r="W128">
        <v>116.4</v>
      </c>
      <c r="X128">
        <v>125.2</v>
      </c>
      <c r="Y128">
        <v>120.9</v>
      </c>
      <c r="Z128">
        <v>126.7</v>
      </c>
      <c r="AA128">
        <v>130.80000000000001</v>
      </c>
      <c r="AB128">
        <v>138</v>
      </c>
      <c r="AC128">
        <v>123.8</v>
      </c>
      <c r="AD128">
        <v>133</v>
      </c>
    </row>
    <row r="129" spans="1:30" x14ac:dyDescent="0.35">
      <c r="A129" t="s">
        <v>32</v>
      </c>
      <c r="B129">
        <v>2016</v>
      </c>
      <c r="C129" t="s">
        <v>39</v>
      </c>
      <c r="D129">
        <v>126.8</v>
      </c>
      <c r="E129">
        <v>144.19999999999999</v>
      </c>
      <c r="F129">
        <v>136.6</v>
      </c>
      <c r="G129">
        <v>131.80000000000001</v>
      </c>
      <c r="H129">
        <v>137</v>
      </c>
      <c r="I129">
        <v>179.5</v>
      </c>
      <c r="J129">
        <v>188.4</v>
      </c>
      <c r="K129">
        <v>113.3</v>
      </c>
      <c r="L129">
        <v>143.9</v>
      </c>
      <c r="M129">
        <v>121.7</v>
      </c>
      <c r="N129">
        <v>137.5</v>
      </c>
      <c r="O129">
        <v>139.80000000000001</v>
      </c>
      <c r="P129">
        <v>111</v>
      </c>
      <c r="Q129">
        <v>127.9</v>
      </c>
      <c r="R129">
        <v>121.1</v>
      </c>
      <c r="S129">
        <v>126.9</v>
      </c>
      <c r="T129">
        <v>123.5</v>
      </c>
      <c r="U129">
        <v>126.4</v>
      </c>
      <c r="V129">
        <v>115.5</v>
      </c>
      <c r="W129">
        <v>111.7</v>
      </c>
      <c r="X129">
        <v>120.3</v>
      </c>
      <c r="Y129">
        <v>120</v>
      </c>
      <c r="Z129">
        <v>120.9</v>
      </c>
      <c r="AA129">
        <v>130.80000000000001</v>
      </c>
      <c r="AB129">
        <v>142.9</v>
      </c>
      <c r="AC129">
        <v>119.9</v>
      </c>
      <c r="AD129">
        <v>129</v>
      </c>
    </row>
    <row r="130" spans="1:30" x14ac:dyDescent="0.35">
      <c r="A130" t="s">
        <v>33</v>
      </c>
      <c r="B130">
        <v>2016</v>
      </c>
      <c r="C130" t="s">
        <v>39</v>
      </c>
      <c r="D130">
        <v>128.5</v>
      </c>
      <c r="E130">
        <v>141.19999999999999</v>
      </c>
      <c r="F130">
        <v>132.30000000000001</v>
      </c>
      <c r="G130">
        <v>133.5</v>
      </c>
      <c r="H130">
        <v>137.80000000000001</v>
      </c>
      <c r="I130">
        <v>165.4</v>
      </c>
      <c r="J130">
        <v>177.4</v>
      </c>
      <c r="K130">
        <v>111.3</v>
      </c>
      <c r="L130">
        <v>137.5</v>
      </c>
      <c r="M130">
        <v>125</v>
      </c>
      <c r="N130">
        <v>138.80000000000001</v>
      </c>
      <c r="O130">
        <v>138.4</v>
      </c>
      <c r="P130">
        <v>116.4</v>
      </c>
      <c r="Q130">
        <v>133.5</v>
      </c>
      <c r="R130">
        <v>127.6</v>
      </c>
      <c r="S130">
        <v>132.69999999999999</v>
      </c>
      <c r="T130">
        <v>126.9</v>
      </c>
      <c r="U130">
        <v>126.4</v>
      </c>
      <c r="V130">
        <v>123.4</v>
      </c>
      <c r="W130">
        <v>113.9</v>
      </c>
      <c r="X130">
        <v>122.4</v>
      </c>
      <c r="Y130">
        <v>120.5</v>
      </c>
      <c r="Z130">
        <v>124.5</v>
      </c>
      <c r="AA130">
        <v>130.80000000000001</v>
      </c>
      <c r="AB130">
        <v>139.30000000000001</v>
      </c>
      <c r="AC130">
        <v>121.9</v>
      </c>
      <c r="AD130">
        <v>131.1</v>
      </c>
    </row>
    <row r="131" spans="1:30" x14ac:dyDescent="0.35">
      <c r="A131" t="s">
        <v>30</v>
      </c>
      <c r="B131">
        <v>2016</v>
      </c>
      <c r="C131" t="s">
        <v>40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140.19999999999999</v>
      </c>
      <c r="I131">
        <v>156.9</v>
      </c>
      <c r="J131">
        <v>172.2</v>
      </c>
      <c r="K131">
        <v>112.1</v>
      </c>
      <c r="L131">
        <v>134.9</v>
      </c>
      <c r="M131">
        <v>128.1</v>
      </c>
      <c r="N131">
        <v>140.69999999999999</v>
      </c>
      <c r="O131">
        <v>138</v>
      </c>
      <c r="P131">
        <v>119.9</v>
      </c>
      <c r="Q131">
        <v>137.80000000000001</v>
      </c>
      <c r="R131">
        <v>133</v>
      </c>
      <c r="S131">
        <v>137.1</v>
      </c>
      <c r="T131">
        <v>130.6</v>
      </c>
      <c r="U131">
        <v>139.2551</v>
      </c>
      <c r="V131">
        <v>129.1</v>
      </c>
      <c r="W131">
        <v>116</v>
      </c>
      <c r="X131">
        <v>125.5</v>
      </c>
      <c r="Y131">
        <v>122</v>
      </c>
      <c r="Z131">
        <v>127</v>
      </c>
      <c r="AA131">
        <v>131.9</v>
      </c>
      <c r="AB131">
        <v>138.9</v>
      </c>
      <c r="AC131">
        <v>124.2</v>
      </c>
      <c r="AD131">
        <v>133.5</v>
      </c>
    </row>
    <row r="132" spans="1:30" x14ac:dyDescent="0.35">
      <c r="A132" t="s">
        <v>32</v>
      </c>
      <c r="B132">
        <v>2016</v>
      </c>
      <c r="C132" t="s">
        <v>40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135.80000000000001</v>
      </c>
      <c r="I132">
        <v>163.5</v>
      </c>
      <c r="J132">
        <v>182.3</v>
      </c>
      <c r="K132">
        <v>114.6</v>
      </c>
      <c r="L132">
        <v>144.6</v>
      </c>
      <c r="M132">
        <v>121.9</v>
      </c>
      <c r="N132">
        <v>138.1</v>
      </c>
      <c r="O132">
        <v>137.6</v>
      </c>
      <c r="P132">
        <v>111.8</v>
      </c>
      <c r="Q132">
        <v>128.30000000000001</v>
      </c>
      <c r="R132">
        <v>121.4</v>
      </c>
      <c r="S132">
        <v>127.3</v>
      </c>
      <c r="T132">
        <v>123.9</v>
      </c>
      <c r="U132">
        <v>127.3</v>
      </c>
      <c r="V132">
        <v>114.7</v>
      </c>
      <c r="W132">
        <v>110.4</v>
      </c>
      <c r="X132">
        <v>120.6</v>
      </c>
      <c r="Y132">
        <v>120.9</v>
      </c>
      <c r="Z132">
        <v>121.2</v>
      </c>
      <c r="AA132">
        <v>131.5</v>
      </c>
      <c r="AB132">
        <v>143.6</v>
      </c>
      <c r="AC132">
        <v>119.9</v>
      </c>
      <c r="AD132">
        <v>128.4</v>
      </c>
    </row>
    <row r="133" spans="1:30" x14ac:dyDescent="0.35">
      <c r="A133" t="s">
        <v>33</v>
      </c>
      <c r="B133">
        <v>2016</v>
      </c>
      <c r="C133" t="s">
        <v>40</v>
      </c>
      <c r="D133">
        <v>129.30000000000001</v>
      </c>
      <c r="E133">
        <v>139.30000000000001</v>
      </c>
      <c r="F133">
        <v>131.6</v>
      </c>
      <c r="G133">
        <v>134.1</v>
      </c>
      <c r="H133">
        <v>138.1</v>
      </c>
      <c r="I133">
        <v>159.1</v>
      </c>
      <c r="J133">
        <v>175.6</v>
      </c>
      <c r="K133">
        <v>112.9</v>
      </c>
      <c r="L133">
        <v>138.1</v>
      </c>
      <c r="M133">
        <v>125.5</v>
      </c>
      <c r="N133">
        <v>139.5</v>
      </c>
      <c r="O133">
        <v>137.9</v>
      </c>
      <c r="P133">
        <v>116.9</v>
      </c>
      <c r="Q133">
        <v>134.1</v>
      </c>
      <c r="R133">
        <v>128.19999999999999</v>
      </c>
      <c r="S133">
        <v>133.19999999999999</v>
      </c>
      <c r="T133">
        <v>127.4</v>
      </c>
      <c r="U133">
        <v>127.3</v>
      </c>
      <c r="V133">
        <v>123.6</v>
      </c>
      <c r="W133">
        <v>113.1</v>
      </c>
      <c r="X133">
        <v>122.7</v>
      </c>
      <c r="Y133">
        <v>121.5</v>
      </c>
      <c r="Z133">
        <v>124.8</v>
      </c>
      <c r="AA133">
        <v>131.69999999999999</v>
      </c>
      <c r="AB133">
        <v>140.19999999999999</v>
      </c>
      <c r="AC133">
        <v>122.1</v>
      </c>
      <c r="AD133">
        <v>131.1</v>
      </c>
    </row>
    <row r="134" spans="1:30" x14ac:dyDescent="0.35">
      <c r="A134" t="s">
        <v>30</v>
      </c>
      <c r="B134">
        <v>2016</v>
      </c>
      <c r="C134" t="s">
        <v>41</v>
      </c>
      <c r="D134">
        <v>130.80000000000001</v>
      </c>
      <c r="E134">
        <v>138.19999999999999</v>
      </c>
      <c r="F134">
        <v>130.5</v>
      </c>
      <c r="G134">
        <v>135.5</v>
      </c>
      <c r="H134">
        <v>139.19999999999999</v>
      </c>
      <c r="I134">
        <v>149.5</v>
      </c>
      <c r="J134">
        <v>170.4</v>
      </c>
      <c r="K134">
        <v>113.1</v>
      </c>
      <c r="L134">
        <v>135.80000000000001</v>
      </c>
      <c r="M134">
        <v>128.80000000000001</v>
      </c>
      <c r="N134">
        <v>141.5</v>
      </c>
      <c r="O134">
        <v>137.19999999999999</v>
      </c>
      <c r="P134">
        <v>120.2</v>
      </c>
      <c r="Q134">
        <v>138.5</v>
      </c>
      <c r="R134">
        <v>133.5</v>
      </c>
      <c r="S134">
        <v>137.80000000000001</v>
      </c>
      <c r="T134">
        <v>131.1</v>
      </c>
      <c r="U134">
        <v>139.2551</v>
      </c>
      <c r="V134">
        <v>129.69999999999999</v>
      </c>
      <c r="W134">
        <v>117</v>
      </c>
      <c r="X134">
        <v>125.7</v>
      </c>
      <c r="Y134">
        <v>122.8</v>
      </c>
      <c r="Z134">
        <v>127.8</v>
      </c>
      <c r="AA134">
        <v>132.19999999999999</v>
      </c>
      <c r="AB134">
        <v>139.9</v>
      </c>
      <c r="AC134">
        <v>124.9</v>
      </c>
      <c r="AD134">
        <v>133.4</v>
      </c>
    </row>
    <row r="135" spans="1:30" x14ac:dyDescent="0.35">
      <c r="A135" t="s">
        <v>32</v>
      </c>
      <c r="B135">
        <v>2016</v>
      </c>
      <c r="C135" t="s">
        <v>41</v>
      </c>
      <c r="D135">
        <v>128.1</v>
      </c>
      <c r="E135">
        <v>137.69999999999999</v>
      </c>
      <c r="F135">
        <v>130.6</v>
      </c>
      <c r="G135">
        <v>132.6</v>
      </c>
      <c r="H135">
        <v>132.5</v>
      </c>
      <c r="I135">
        <v>152.9</v>
      </c>
      <c r="J135">
        <v>173.6</v>
      </c>
      <c r="K135">
        <v>115.1</v>
      </c>
      <c r="L135">
        <v>144.80000000000001</v>
      </c>
      <c r="M135">
        <v>122.1</v>
      </c>
      <c r="N135">
        <v>138.80000000000001</v>
      </c>
      <c r="O135">
        <v>135.69999999999999</v>
      </c>
      <c r="P135">
        <v>111.9</v>
      </c>
      <c r="Q135">
        <v>128.69999999999999</v>
      </c>
      <c r="R135">
        <v>121.6</v>
      </c>
      <c r="S135">
        <v>127.7</v>
      </c>
      <c r="T135">
        <v>124.3</v>
      </c>
      <c r="U135">
        <v>127.9</v>
      </c>
      <c r="V135">
        <v>114.8</v>
      </c>
      <c r="W135">
        <v>111.8</v>
      </c>
      <c r="X135">
        <v>120.8</v>
      </c>
      <c r="Y135">
        <v>121.2</v>
      </c>
      <c r="Z135">
        <v>121.4</v>
      </c>
      <c r="AA135">
        <v>131.6</v>
      </c>
      <c r="AB135">
        <v>143.9</v>
      </c>
      <c r="AC135">
        <v>120.5</v>
      </c>
      <c r="AD135">
        <v>128</v>
      </c>
    </row>
    <row r="136" spans="1:30" x14ac:dyDescent="0.35">
      <c r="A136" t="s">
        <v>33</v>
      </c>
      <c r="B136">
        <v>2016</v>
      </c>
      <c r="C136" t="s">
        <v>41</v>
      </c>
      <c r="D136">
        <v>129.9</v>
      </c>
      <c r="E136">
        <v>138</v>
      </c>
      <c r="F136">
        <v>130.5</v>
      </c>
      <c r="G136">
        <v>134.4</v>
      </c>
      <c r="H136">
        <v>136.1</v>
      </c>
      <c r="I136">
        <v>150.69999999999999</v>
      </c>
      <c r="J136">
        <v>171.5</v>
      </c>
      <c r="K136">
        <v>113.8</v>
      </c>
      <c r="L136">
        <v>138.80000000000001</v>
      </c>
      <c r="M136">
        <v>126</v>
      </c>
      <c r="N136">
        <v>140.19999999999999</v>
      </c>
      <c r="O136">
        <v>136.6</v>
      </c>
      <c r="P136">
        <v>117.2</v>
      </c>
      <c r="Q136">
        <v>134.6</v>
      </c>
      <c r="R136">
        <v>128.6</v>
      </c>
      <c r="S136">
        <v>133.80000000000001</v>
      </c>
      <c r="T136">
        <v>127.9</v>
      </c>
      <c r="U136">
        <v>127.9</v>
      </c>
      <c r="V136">
        <v>124.1</v>
      </c>
      <c r="W136">
        <v>114.3</v>
      </c>
      <c r="X136">
        <v>122.9</v>
      </c>
      <c r="Y136">
        <v>122.1</v>
      </c>
      <c r="Z136">
        <v>125.4</v>
      </c>
      <c r="AA136">
        <v>131.80000000000001</v>
      </c>
      <c r="AB136">
        <v>141</v>
      </c>
      <c r="AC136">
        <v>122.8</v>
      </c>
      <c r="AD136">
        <v>130.9</v>
      </c>
    </row>
    <row r="137" spans="1:30" x14ac:dyDescent="0.35">
      <c r="A137" t="s">
        <v>30</v>
      </c>
      <c r="B137">
        <v>2016</v>
      </c>
      <c r="C137" t="s">
        <v>42</v>
      </c>
      <c r="D137">
        <v>131.30000000000001</v>
      </c>
      <c r="E137">
        <v>137.6</v>
      </c>
      <c r="F137">
        <v>130.1</v>
      </c>
      <c r="G137">
        <v>136</v>
      </c>
      <c r="H137">
        <v>138.4</v>
      </c>
      <c r="I137">
        <v>149.19999999999999</v>
      </c>
      <c r="J137">
        <v>170.2</v>
      </c>
      <c r="K137">
        <v>113.4</v>
      </c>
      <c r="L137">
        <v>136.30000000000001</v>
      </c>
      <c r="M137">
        <v>128.69999999999999</v>
      </c>
      <c r="N137">
        <v>142.4</v>
      </c>
      <c r="O137">
        <v>137.4</v>
      </c>
      <c r="P137">
        <v>120.8</v>
      </c>
      <c r="Q137">
        <v>139.6</v>
      </c>
      <c r="R137">
        <v>134.30000000000001</v>
      </c>
      <c r="S137">
        <v>138.80000000000001</v>
      </c>
      <c r="T137">
        <v>131.80000000000001</v>
      </c>
      <c r="U137">
        <v>139.2551</v>
      </c>
      <c r="V137">
        <v>129.80000000000001</v>
      </c>
      <c r="W137">
        <v>117.8</v>
      </c>
      <c r="X137">
        <v>126.5</v>
      </c>
      <c r="Y137">
        <v>123</v>
      </c>
      <c r="Z137">
        <v>128.69999999999999</v>
      </c>
      <c r="AA137">
        <v>133</v>
      </c>
      <c r="AB137">
        <v>140.9</v>
      </c>
      <c r="AC137">
        <v>125.7</v>
      </c>
      <c r="AD137">
        <v>133.80000000000001</v>
      </c>
    </row>
    <row r="138" spans="1:30" x14ac:dyDescent="0.35">
      <c r="A138" t="s">
        <v>32</v>
      </c>
      <c r="B138">
        <v>2016</v>
      </c>
      <c r="C138" t="s">
        <v>42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130.4</v>
      </c>
      <c r="I138">
        <v>155.1</v>
      </c>
      <c r="J138">
        <v>175.7</v>
      </c>
      <c r="K138">
        <v>115.4</v>
      </c>
      <c r="L138">
        <v>145.30000000000001</v>
      </c>
      <c r="M138">
        <v>122.5</v>
      </c>
      <c r="N138">
        <v>139.6</v>
      </c>
      <c r="O138">
        <v>136.30000000000001</v>
      </c>
      <c r="P138">
        <v>112.5</v>
      </c>
      <c r="Q138">
        <v>129.1</v>
      </c>
      <c r="R138">
        <v>121.9</v>
      </c>
      <c r="S138">
        <v>128</v>
      </c>
      <c r="T138">
        <v>124.5</v>
      </c>
      <c r="U138">
        <v>128.69999999999999</v>
      </c>
      <c r="V138">
        <v>115.2</v>
      </c>
      <c r="W138">
        <v>112.8</v>
      </c>
      <c r="X138">
        <v>121.2</v>
      </c>
      <c r="Y138">
        <v>120.8</v>
      </c>
      <c r="Z138">
        <v>121.8</v>
      </c>
      <c r="AA138">
        <v>131.9</v>
      </c>
      <c r="AB138">
        <v>144.30000000000001</v>
      </c>
      <c r="AC138">
        <v>120.9</v>
      </c>
      <c r="AD138">
        <v>128.6</v>
      </c>
    </row>
    <row r="139" spans="1:30" x14ac:dyDescent="0.35">
      <c r="A139" t="s">
        <v>33</v>
      </c>
      <c r="B139">
        <v>2016</v>
      </c>
      <c r="C139" t="s">
        <v>42</v>
      </c>
      <c r="D139">
        <v>130.5</v>
      </c>
      <c r="E139">
        <v>137.9</v>
      </c>
      <c r="F139">
        <v>130.19999999999999</v>
      </c>
      <c r="G139">
        <v>134.80000000000001</v>
      </c>
      <c r="H139">
        <v>134.69999999999999</v>
      </c>
      <c r="I139">
        <v>151.19999999999999</v>
      </c>
      <c r="J139">
        <v>172.1</v>
      </c>
      <c r="K139">
        <v>114.1</v>
      </c>
      <c r="L139">
        <v>139.30000000000001</v>
      </c>
      <c r="M139">
        <v>126.1</v>
      </c>
      <c r="N139">
        <v>141.1</v>
      </c>
      <c r="O139">
        <v>137</v>
      </c>
      <c r="P139">
        <v>117.8</v>
      </c>
      <c r="Q139">
        <v>135.5</v>
      </c>
      <c r="R139">
        <v>129.1</v>
      </c>
      <c r="S139">
        <v>134.5</v>
      </c>
      <c r="T139">
        <v>128.4</v>
      </c>
      <c r="U139">
        <v>128.69999999999999</v>
      </c>
      <c r="V139">
        <v>124.3</v>
      </c>
      <c r="W139">
        <v>115.2</v>
      </c>
      <c r="X139">
        <v>123.5</v>
      </c>
      <c r="Y139">
        <v>122.1</v>
      </c>
      <c r="Z139">
        <v>126.1</v>
      </c>
      <c r="AA139">
        <v>132.4</v>
      </c>
      <c r="AB139">
        <v>141.80000000000001</v>
      </c>
      <c r="AC139">
        <v>123.4</v>
      </c>
      <c r="AD139">
        <v>131.4</v>
      </c>
    </row>
    <row r="140" spans="1:30" x14ac:dyDescent="0.35">
      <c r="A140" t="s">
        <v>30</v>
      </c>
      <c r="B140">
        <v>2016</v>
      </c>
      <c r="C140" t="s">
        <v>44</v>
      </c>
      <c r="D140">
        <v>132</v>
      </c>
      <c r="E140">
        <v>137.4</v>
      </c>
      <c r="F140">
        <v>130.6</v>
      </c>
      <c r="G140">
        <v>136.19999999999999</v>
      </c>
      <c r="H140">
        <v>136.9</v>
      </c>
      <c r="I140">
        <v>141.80000000000001</v>
      </c>
      <c r="J140">
        <v>170</v>
      </c>
      <c r="K140">
        <v>113.4</v>
      </c>
      <c r="L140">
        <v>136.80000000000001</v>
      </c>
      <c r="M140">
        <v>128.69999999999999</v>
      </c>
      <c r="N140">
        <v>143.1</v>
      </c>
      <c r="O140">
        <v>136.6</v>
      </c>
      <c r="P140">
        <v>121.1</v>
      </c>
      <c r="Q140">
        <v>139.9</v>
      </c>
      <c r="R140">
        <v>134.5</v>
      </c>
      <c r="S140">
        <v>139.19999999999999</v>
      </c>
      <c r="T140">
        <v>132.1</v>
      </c>
      <c r="U140">
        <v>139.2551</v>
      </c>
      <c r="V140">
        <v>130.30000000000001</v>
      </c>
      <c r="W140">
        <v>118.2</v>
      </c>
      <c r="X140">
        <v>126.9</v>
      </c>
      <c r="Y140">
        <v>123.5</v>
      </c>
      <c r="Z140">
        <v>129.1</v>
      </c>
      <c r="AA140">
        <v>133.69999999999999</v>
      </c>
      <c r="AB140">
        <v>141.19999999999999</v>
      </c>
      <c r="AC140">
        <v>126.1</v>
      </c>
      <c r="AD140">
        <v>133.6</v>
      </c>
    </row>
    <row r="141" spans="1:30" x14ac:dyDescent="0.35">
      <c r="A141" t="s">
        <v>32</v>
      </c>
      <c r="B141">
        <v>2016</v>
      </c>
      <c r="C141" t="s">
        <v>44</v>
      </c>
      <c r="D141">
        <v>130.19999999999999</v>
      </c>
      <c r="E141">
        <v>138.5</v>
      </c>
      <c r="F141">
        <v>134.1</v>
      </c>
      <c r="G141">
        <v>132.9</v>
      </c>
      <c r="H141">
        <v>130.80000000000001</v>
      </c>
      <c r="I141">
        <v>142</v>
      </c>
      <c r="J141">
        <v>174.9</v>
      </c>
      <c r="K141">
        <v>115.6</v>
      </c>
      <c r="L141">
        <v>145.4</v>
      </c>
      <c r="M141">
        <v>122.7</v>
      </c>
      <c r="N141">
        <v>140.30000000000001</v>
      </c>
      <c r="O141">
        <v>135.19999999999999</v>
      </c>
      <c r="P141">
        <v>112.6</v>
      </c>
      <c r="Q141">
        <v>129.6</v>
      </c>
      <c r="R141">
        <v>122.1</v>
      </c>
      <c r="S141">
        <v>128.5</v>
      </c>
      <c r="T141">
        <v>124.7</v>
      </c>
      <c r="U141">
        <v>129.1</v>
      </c>
      <c r="V141">
        <v>116.2</v>
      </c>
      <c r="W141">
        <v>113.4</v>
      </c>
      <c r="X141">
        <v>121.7</v>
      </c>
      <c r="Y141">
        <v>121.3</v>
      </c>
      <c r="Z141">
        <v>122.1</v>
      </c>
      <c r="AA141">
        <v>132.1</v>
      </c>
      <c r="AB141">
        <v>144.30000000000001</v>
      </c>
      <c r="AC141">
        <v>121.3</v>
      </c>
      <c r="AD141">
        <v>128.5</v>
      </c>
    </row>
    <row r="142" spans="1:30" x14ac:dyDescent="0.35">
      <c r="A142" t="s">
        <v>33</v>
      </c>
      <c r="B142">
        <v>2016</v>
      </c>
      <c r="C142" t="s">
        <v>44</v>
      </c>
      <c r="D142">
        <v>131.4</v>
      </c>
      <c r="E142">
        <v>137.80000000000001</v>
      </c>
      <c r="F142">
        <v>132</v>
      </c>
      <c r="G142">
        <v>135</v>
      </c>
      <c r="H142">
        <v>134.1</v>
      </c>
      <c r="I142">
        <v>141.9</v>
      </c>
      <c r="J142">
        <v>171.7</v>
      </c>
      <c r="K142">
        <v>114.1</v>
      </c>
      <c r="L142">
        <v>139.69999999999999</v>
      </c>
      <c r="M142">
        <v>126.2</v>
      </c>
      <c r="N142">
        <v>141.80000000000001</v>
      </c>
      <c r="O142">
        <v>136.1</v>
      </c>
      <c r="P142">
        <v>118</v>
      </c>
      <c r="Q142">
        <v>135.80000000000001</v>
      </c>
      <c r="R142">
        <v>129.30000000000001</v>
      </c>
      <c r="S142">
        <v>135</v>
      </c>
      <c r="T142">
        <v>128.6</v>
      </c>
      <c r="U142">
        <v>129.1</v>
      </c>
      <c r="V142">
        <v>125</v>
      </c>
      <c r="W142">
        <v>115.7</v>
      </c>
      <c r="X142">
        <v>124</v>
      </c>
      <c r="Y142">
        <v>122.6</v>
      </c>
      <c r="Z142">
        <v>126.4</v>
      </c>
      <c r="AA142">
        <v>132.80000000000001</v>
      </c>
      <c r="AB142">
        <v>142</v>
      </c>
      <c r="AC142">
        <v>123.8</v>
      </c>
      <c r="AD142">
        <v>131.19999999999999</v>
      </c>
    </row>
    <row r="143" spans="1:30" x14ac:dyDescent="0.35">
      <c r="A143" t="s">
        <v>30</v>
      </c>
      <c r="B143">
        <v>2016</v>
      </c>
      <c r="C143" t="s">
        <v>45</v>
      </c>
      <c r="D143">
        <v>132.6</v>
      </c>
      <c r="E143">
        <v>137.30000000000001</v>
      </c>
      <c r="F143">
        <v>131.6</v>
      </c>
      <c r="G143">
        <v>136.30000000000001</v>
      </c>
      <c r="H143">
        <v>135.6</v>
      </c>
      <c r="I143">
        <v>127.5</v>
      </c>
      <c r="J143">
        <v>167.9</v>
      </c>
      <c r="K143">
        <v>113.8</v>
      </c>
      <c r="L143">
        <v>137.5</v>
      </c>
      <c r="M143">
        <v>129.1</v>
      </c>
      <c r="N143">
        <v>143.6</v>
      </c>
      <c r="O143">
        <v>134.69999999999999</v>
      </c>
      <c r="P143">
        <v>121.6</v>
      </c>
      <c r="Q143">
        <v>140.4</v>
      </c>
      <c r="R143">
        <v>135.19999999999999</v>
      </c>
      <c r="S143">
        <v>139.69999999999999</v>
      </c>
      <c r="T143">
        <v>132.9</v>
      </c>
      <c r="U143">
        <v>139.2551</v>
      </c>
      <c r="V143">
        <v>132</v>
      </c>
      <c r="W143">
        <v>118.6</v>
      </c>
      <c r="X143">
        <v>127.3</v>
      </c>
      <c r="Y143">
        <v>121.9</v>
      </c>
      <c r="Z143">
        <v>129.69999999999999</v>
      </c>
      <c r="AA143">
        <v>134.19999999999999</v>
      </c>
      <c r="AB143">
        <v>142.4</v>
      </c>
      <c r="AC143">
        <v>126.3</v>
      </c>
      <c r="AD143">
        <v>132.80000000000001</v>
      </c>
    </row>
    <row r="144" spans="1:30" x14ac:dyDescent="0.35">
      <c r="A144" t="s">
        <v>32</v>
      </c>
      <c r="B144">
        <v>2016</v>
      </c>
      <c r="C144" t="s">
        <v>45</v>
      </c>
      <c r="D144">
        <v>131.6</v>
      </c>
      <c r="E144">
        <v>138.19999999999999</v>
      </c>
      <c r="F144">
        <v>134.9</v>
      </c>
      <c r="G144">
        <v>133.1</v>
      </c>
      <c r="H144">
        <v>129.30000000000001</v>
      </c>
      <c r="I144">
        <v>121.1</v>
      </c>
      <c r="J144">
        <v>170.3</v>
      </c>
      <c r="K144">
        <v>115.5</v>
      </c>
      <c r="L144">
        <v>145.5</v>
      </c>
      <c r="M144">
        <v>123.1</v>
      </c>
      <c r="N144">
        <v>140.9</v>
      </c>
      <c r="O144">
        <v>132.80000000000001</v>
      </c>
      <c r="P144">
        <v>113.5</v>
      </c>
      <c r="Q144">
        <v>130</v>
      </c>
      <c r="R144">
        <v>122.2</v>
      </c>
      <c r="S144">
        <v>128.80000000000001</v>
      </c>
      <c r="T144">
        <v>125</v>
      </c>
      <c r="U144">
        <v>128.5</v>
      </c>
      <c r="V144">
        <v>117.8</v>
      </c>
      <c r="W144">
        <v>113.7</v>
      </c>
      <c r="X144">
        <v>121.8</v>
      </c>
      <c r="Y144">
        <v>119.9</v>
      </c>
      <c r="Z144">
        <v>122.3</v>
      </c>
      <c r="AA144">
        <v>132.30000000000001</v>
      </c>
      <c r="AB144">
        <v>145</v>
      </c>
      <c r="AC144">
        <v>121.4</v>
      </c>
      <c r="AD144">
        <v>127.6</v>
      </c>
    </row>
    <row r="145" spans="1:30" x14ac:dyDescent="0.35">
      <c r="A145" t="s">
        <v>33</v>
      </c>
      <c r="B145">
        <v>2016</v>
      </c>
      <c r="C145" t="s">
        <v>45</v>
      </c>
      <c r="D145">
        <v>132.30000000000001</v>
      </c>
      <c r="E145">
        <v>137.6</v>
      </c>
      <c r="F145">
        <v>132.9</v>
      </c>
      <c r="G145">
        <v>135.1</v>
      </c>
      <c r="H145">
        <v>132.69999999999999</v>
      </c>
      <c r="I145">
        <v>125.3</v>
      </c>
      <c r="J145">
        <v>168.7</v>
      </c>
      <c r="K145">
        <v>114.4</v>
      </c>
      <c r="L145">
        <v>140.19999999999999</v>
      </c>
      <c r="M145">
        <v>126.6</v>
      </c>
      <c r="N145">
        <v>142.30000000000001</v>
      </c>
      <c r="O145">
        <v>134</v>
      </c>
      <c r="P145">
        <v>118.6</v>
      </c>
      <c r="Q145">
        <v>136.30000000000001</v>
      </c>
      <c r="R145">
        <v>129.80000000000001</v>
      </c>
      <c r="S145">
        <v>135.4</v>
      </c>
      <c r="T145">
        <v>129.19999999999999</v>
      </c>
      <c r="U145">
        <v>128.5</v>
      </c>
      <c r="V145">
        <v>126.6</v>
      </c>
      <c r="W145">
        <v>116</v>
      </c>
      <c r="X145">
        <v>124.2</v>
      </c>
      <c r="Y145">
        <v>121.1</v>
      </c>
      <c r="Z145">
        <v>126.9</v>
      </c>
      <c r="AA145">
        <v>133.1</v>
      </c>
      <c r="AB145">
        <v>143.1</v>
      </c>
      <c r="AC145">
        <v>123.9</v>
      </c>
      <c r="AD145">
        <v>130.4</v>
      </c>
    </row>
    <row r="146" spans="1:30" x14ac:dyDescent="0.35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136</v>
      </c>
      <c r="I146">
        <v>119.8</v>
      </c>
      <c r="J146">
        <v>161.69999999999999</v>
      </c>
      <c r="K146">
        <v>114.8</v>
      </c>
      <c r="L146">
        <v>136.9</v>
      </c>
      <c r="M146">
        <v>129</v>
      </c>
      <c r="N146">
        <v>143.9</v>
      </c>
      <c r="O146">
        <v>133.69999999999999</v>
      </c>
      <c r="P146">
        <v>122</v>
      </c>
      <c r="Q146">
        <v>140.69999999999999</v>
      </c>
      <c r="R146">
        <v>135.80000000000001</v>
      </c>
      <c r="S146">
        <v>140</v>
      </c>
      <c r="T146">
        <v>133.19999999999999</v>
      </c>
      <c r="U146">
        <v>139.2551</v>
      </c>
      <c r="V146">
        <v>132.1</v>
      </c>
      <c r="W146">
        <v>119.1</v>
      </c>
      <c r="X146">
        <v>127</v>
      </c>
      <c r="Y146">
        <v>122.3</v>
      </c>
      <c r="Z146">
        <v>129.9</v>
      </c>
      <c r="AA146">
        <v>134.6</v>
      </c>
      <c r="AB146">
        <v>143.1</v>
      </c>
      <c r="AC146">
        <v>126.6</v>
      </c>
      <c r="AD146">
        <v>132.4</v>
      </c>
    </row>
    <row r="147" spans="1:30" x14ac:dyDescent="0.35">
      <c r="A147" t="s">
        <v>32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129.6</v>
      </c>
      <c r="I147">
        <v>118.7</v>
      </c>
      <c r="J147">
        <v>155.1</v>
      </c>
      <c r="K147">
        <v>117.3</v>
      </c>
      <c r="L147">
        <v>144.9</v>
      </c>
      <c r="M147">
        <v>123.2</v>
      </c>
      <c r="N147">
        <v>141.6</v>
      </c>
      <c r="O147">
        <v>132</v>
      </c>
      <c r="P147">
        <v>114</v>
      </c>
      <c r="Q147">
        <v>130.19999999999999</v>
      </c>
      <c r="R147">
        <v>122.3</v>
      </c>
      <c r="S147">
        <v>129</v>
      </c>
      <c r="T147">
        <v>125.1</v>
      </c>
      <c r="U147">
        <v>129.6</v>
      </c>
      <c r="V147">
        <v>118</v>
      </c>
      <c r="W147">
        <v>115.2</v>
      </c>
      <c r="X147">
        <v>122</v>
      </c>
      <c r="Y147">
        <v>120.9</v>
      </c>
      <c r="Z147">
        <v>122.6</v>
      </c>
      <c r="AA147">
        <v>132.4</v>
      </c>
      <c r="AB147">
        <v>145.6</v>
      </c>
      <c r="AC147">
        <v>122.1</v>
      </c>
      <c r="AD147">
        <v>127.8</v>
      </c>
    </row>
    <row r="148" spans="1:30" x14ac:dyDescent="0.35">
      <c r="A148" t="s">
        <v>33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133</v>
      </c>
      <c r="I148">
        <v>119.4</v>
      </c>
      <c r="J148">
        <v>159.5</v>
      </c>
      <c r="K148">
        <v>115.6</v>
      </c>
      <c r="L148">
        <v>139.6</v>
      </c>
      <c r="M148">
        <v>126.6</v>
      </c>
      <c r="N148">
        <v>142.80000000000001</v>
      </c>
      <c r="O148">
        <v>133.1</v>
      </c>
      <c r="P148">
        <v>119.1</v>
      </c>
      <c r="Q148">
        <v>136.6</v>
      </c>
      <c r="R148">
        <v>130.19999999999999</v>
      </c>
      <c r="S148">
        <v>135.6</v>
      </c>
      <c r="T148">
        <v>129.4</v>
      </c>
      <c r="U148">
        <v>129.6</v>
      </c>
      <c r="V148">
        <v>126.8</v>
      </c>
      <c r="W148">
        <v>117</v>
      </c>
      <c r="X148">
        <v>124.2</v>
      </c>
      <c r="Y148">
        <v>121.7</v>
      </c>
      <c r="Z148">
        <v>127.1</v>
      </c>
      <c r="AA148">
        <v>133.30000000000001</v>
      </c>
      <c r="AB148">
        <v>143.80000000000001</v>
      </c>
      <c r="AC148">
        <v>124.4</v>
      </c>
      <c r="AD148">
        <v>130.30000000000001</v>
      </c>
    </row>
    <row r="149" spans="1:30" x14ac:dyDescent="0.35">
      <c r="A149" t="s">
        <v>30</v>
      </c>
      <c r="B149">
        <v>2017</v>
      </c>
      <c r="C149" t="s">
        <v>34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138.69999999999999</v>
      </c>
      <c r="I149">
        <v>119.1</v>
      </c>
      <c r="J149">
        <v>156.9</v>
      </c>
      <c r="K149">
        <v>116.2</v>
      </c>
      <c r="L149">
        <v>136</v>
      </c>
      <c r="M149">
        <v>129.4</v>
      </c>
      <c r="N149">
        <v>144.4</v>
      </c>
      <c r="O149">
        <v>133.6</v>
      </c>
      <c r="P149">
        <v>122.1</v>
      </c>
      <c r="Q149">
        <v>140.9</v>
      </c>
      <c r="R149">
        <v>135.80000000000001</v>
      </c>
      <c r="S149">
        <v>140.19999999999999</v>
      </c>
      <c r="T149">
        <v>133.6</v>
      </c>
      <c r="U149">
        <v>139.2551</v>
      </c>
      <c r="V149">
        <v>133.19999999999999</v>
      </c>
      <c r="W149">
        <v>119.5</v>
      </c>
      <c r="X149">
        <v>127.7</v>
      </c>
      <c r="Y149">
        <v>123.2</v>
      </c>
      <c r="Z149">
        <v>130.1</v>
      </c>
      <c r="AA149">
        <v>134.9</v>
      </c>
      <c r="AB149">
        <v>143.69999999999999</v>
      </c>
      <c r="AC149">
        <v>127</v>
      </c>
      <c r="AD149">
        <v>132.6</v>
      </c>
    </row>
    <row r="150" spans="1:30" x14ac:dyDescent="0.35">
      <c r="A150" t="s">
        <v>32</v>
      </c>
      <c r="B150">
        <v>2017</v>
      </c>
      <c r="C150" t="s">
        <v>34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131.4</v>
      </c>
      <c r="I150">
        <v>120.2</v>
      </c>
      <c r="J150">
        <v>143.1</v>
      </c>
      <c r="K150">
        <v>119.5</v>
      </c>
      <c r="L150">
        <v>144</v>
      </c>
      <c r="M150">
        <v>123.4</v>
      </c>
      <c r="N150">
        <v>141.9</v>
      </c>
      <c r="O150">
        <v>132.1</v>
      </c>
      <c r="P150">
        <v>114.3</v>
      </c>
      <c r="Q150">
        <v>130.5</v>
      </c>
      <c r="R150">
        <v>122.5</v>
      </c>
      <c r="S150">
        <v>129.30000000000001</v>
      </c>
      <c r="T150">
        <v>125.3</v>
      </c>
      <c r="U150">
        <v>130.5</v>
      </c>
      <c r="V150">
        <v>119.2</v>
      </c>
      <c r="W150">
        <v>115.5</v>
      </c>
      <c r="X150">
        <v>122.2</v>
      </c>
      <c r="Y150">
        <v>121.7</v>
      </c>
      <c r="Z150">
        <v>122.9</v>
      </c>
      <c r="AA150">
        <v>132.4</v>
      </c>
      <c r="AB150">
        <v>146.30000000000001</v>
      </c>
      <c r="AC150">
        <v>122.4</v>
      </c>
      <c r="AD150">
        <v>128.19999999999999</v>
      </c>
    </row>
    <row r="151" spans="1:30" x14ac:dyDescent="0.35">
      <c r="A151" t="s">
        <v>33</v>
      </c>
      <c r="B151">
        <v>2017</v>
      </c>
      <c r="C151" t="s">
        <v>34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135.30000000000001</v>
      </c>
      <c r="I151">
        <v>119.5</v>
      </c>
      <c r="J151">
        <v>152.19999999999999</v>
      </c>
      <c r="K151">
        <v>117.3</v>
      </c>
      <c r="L151">
        <v>138.69999999999999</v>
      </c>
      <c r="M151">
        <v>126.9</v>
      </c>
      <c r="N151">
        <v>143.19999999999999</v>
      </c>
      <c r="O151">
        <v>133</v>
      </c>
      <c r="P151">
        <v>119.2</v>
      </c>
      <c r="Q151">
        <v>136.80000000000001</v>
      </c>
      <c r="R151">
        <v>130.30000000000001</v>
      </c>
      <c r="S151">
        <v>135.9</v>
      </c>
      <c r="T151">
        <v>129.69999999999999</v>
      </c>
      <c r="U151">
        <v>130.5</v>
      </c>
      <c r="V151">
        <v>127.9</v>
      </c>
      <c r="W151">
        <v>117.4</v>
      </c>
      <c r="X151">
        <v>124.6</v>
      </c>
      <c r="Y151">
        <v>122.6</v>
      </c>
      <c r="Z151">
        <v>127.4</v>
      </c>
      <c r="AA151">
        <v>133.4</v>
      </c>
      <c r="AB151">
        <v>144.4</v>
      </c>
      <c r="AC151">
        <v>124.8</v>
      </c>
      <c r="AD151">
        <v>130.6</v>
      </c>
    </row>
    <row r="152" spans="1:30" x14ac:dyDescent="0.35">
      <c r="A152" t="s">
        <v>30</v>
      </c>
      <c r="B152">
        <v>2017</v>
      </c>
      <c r="C152" t="s">
        <v>35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139.69999999999999</v>
      </c>
      <c r="I152">
        <v>119.7</v>
      </c>
      <c r="J152">
        <v>148</v>
      </c>
      <c r="K152">
        <v>116.9</v>
      </c>
      <c r="L152">
        <v>135.6</v>
      </c>
      <c r="M152">
        <v>129.80000000000001</v>
      </c>
      <c r="N152">
        <v>145.4</v>
      </c>
      <c r="O152">
        <v>133.4</v>
      </c>
      <c r="P152">
        <v>121.6</v>
      </c>
      <c r="Q152">
        <v>141.6</v>
      </c>
      <c r="R152">
        <v>136.19999999999999</v>
      </c>
      <c r="S152">
        <v>140.80000000000001</v>
      </c>
      <c r="T152">
        <v>134.1</v>
      </c>
      <c r="U152">
        <v>139.2551</v>
      </c>
      <c r="V152">
        <v>134.19999999999999</v>
      </c>
      <c r="W152">
        <v>119.8</v>
      </c>
      <c r="X152">
        <v>128.30000000000001</v>
      </c>
      <c r="Y152">
        <v>123.3</v>
      </c>
      <c r="Z152">
        <v>130.6</v>
      </c>
      <c r="AA152">
        <v>135.19999999999999</v>
      </c>
      <c r="AB152">
        <v>144.19999999999999</v>
      </c>
      <c r="AC152">
        <v>127.4</v>
      </c>
      <c r="AD152">
        <v>132.80000000000001</v>
      </c>
    </row>
    <row r="153" spans="1:30" x14ac:dyDescent="0.35">
      <c r="A153" t="s">
        <v>32</v>
      </c>
      <c r="B153">
        <v>2017</v>
      </c>
      <c r="C153" t="s">
        <v>35</v>
      </c>
      <c r="D153">
        <v>132.69999999999999</v>
      </c>
      <c r="E153">
        <v>139.4</v>
      </c>
      <c r="F153">
        <v>128.4</v>
      </c>
      <c r="G153">
        <v>134.9</v>
      </c>
      <c r="H153">
        <v>136.80000000000001</v>
      </c>
      <c r="I153">
        <v>122.2</v>
      </c>
      <c r="J153">
        <v>135.80000000000001</v>
      </c>
      <c r="K153">
        <v>120.3</v>
      </c>
      <c r="L153">
        <v>142.6</v>
      </c>
      <c r="M153">
        <v>123.6</v>
      </c>
      <c r="N153">
        <v>142.4</v>
      </c>
      <c r="O153">
        <v>132.6</v>
      </c>
      <c r="P153">
        <v>114</v>
      </c>
      <c r="Q153">
        <v>130.80000000000001</v>
      </c>
      <c r="R153">
        <v>122.8</v>
      </c>
      <c r="S153">
        <v>129.6</v>
      </c>
      <c r="T153">
        <v>125.6</v>
      </c>
      <c r="U153">
        <v>131.1</v>
      </c>
      <c r="V153">
        <v>120.8</v>
      </c>
      <c r="W153">
        <v>115.6</v>
      </c>
      <c r="X153">
        <v>122.4</v>
      </c>
      <c r="Y153">
        <v>121.7</v>
      </c>
      <c r="Z153">
        <v>123.1</v>
      </c>
      <c r="AA153">
        <v>132.80000000000001</v>
      </c>
      <c r="AB153">
        <v>147.5</v>
      </c>
      <c r="AC153">
        <v>122.6</v>
      </c>
      <c r="AD153">
        <v>128.69999999999999</v>
      </c>
    </row>
    <row r="154" spans="1:30" x14ac:dyDescent="0.35">
      <c r="A154" t="s">
        <v>33</v>
      </c>
      <c r="B154">
        <v>2017</v>
      </c>
      <c r="C154" t="s">
        <v>35</v>
      </c>
      <c r="D154">
        <v>133.30000000000001</v>
      </c>
      <c r="E154">
        <v>139</v>
      </c>
      <c r="F154">
        <v>128.6</v>
      </c>
      <c r="G154">
        <v>136.30000000000001</v>
      </c>
      <c r="H154">
        <v>138.30000000000001</v>
      </c>
      <c r="I154">
        <v>120.5</v>
      </c>
      <c r="J154">
        <v>143.9</v>
      </c>
      <c r="K154">
        <v>118</v>
      </c>
      <c r="L154">
        <v>137.9</v>
      </c>
      <c r="M154">
        <v>127.2</v>
      </c>
      <c r="N154">
        <v>144</v>
      </c>
      <c r="O154">
        <v>133.1</v>
      </c>
      <c r="P154">
        <v>118.8</v>
      </c>
      <c r="Q154">
        <v>137.30000000000001</v>
      </c>
      <c r="R154">
        <v>130.6</v>
      </c>
      <c r="S154">
        <v>136.4</v>
      </c>
      <c r="T154">
        <v>130.1</v>
      </c>
      <c r="U154">
        <v>131.1</v>
      </c>
      <c r="V154">
        <v>129.1</v>
      </c>
      <c r="W154">
        <v>117.6</v>
      </c>
      <c r="X154">
        <v>125</v>
      </c>
      <c r="Y154">
        <v>122.6</v>
      </c>
      <c r="Z154">
        <v>127.8</v>
      </c>
      <c r="AA154">
        <v>133.80000000000001</v>
      </c>
      <c r="AB154">
        <v>145.1</v>
      </c>
      <c r="AC154">
        <v>125.1</v>
      </c>
      <c r="AD154">
        <v>130.9</v>
      </c>
    </row>
    <row r="155" spans="1:30" x14ac:dyDescent="0.35">
      <c r="A155" t="s">
        <v>30</v>
      </c>
      <c r="B155">
        <v>2017</v>
      </c>
      <c r="C155" t="s">
        <v>36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141.80000000000001</v>
      </c>
      <c r="I155">
        <v>121.5</v>
      </c>
      <c r="J155">
        <v>144.5</v>
      </c>
      <c r="K155">
        <v>117.4</v>
      </c>
      <c r="L155">
        <v>134.1</v>
      </c>
      <c r="M155">
        <v>130</v>
      </c>
      <c r="N155">
        <v>145.5</v>
      </c>
      <c r="O155">
        <v>133.5</v>
      </c>
      <c r="P155">
        <v>121.3</v>
      </c>
      <c r="Q155">
        <v>142.4</v>
      </c>
      <c r="R155">
        <v>136.80000000000001</v>
      </c>
      <c r="S155">
        <v>141.6</v>
      </c>
      <c r="T155">
        <v>134.30000000000001</v>
      </c>
      <c r="U155">
        <v>139.2551</v>
      </c>
      <c r="V155">
        <v>135</v>
      </c>
      <c r="W155">
        <v>119.2</v>
      </c>
      <c r="X155">
        <v>128.30000000000001</v>
      </c>
      <c r="Y155">
        <v>123.7</v>
      </c>
      <c r="Z155">
        <v>131</v>
      </c>
      <c r="AA155">
        <v>135.69999999999999</v>
      </c>
      <c r="AB155">
        <v>144.4</v>
      </c>
      <c r="AC155">
        <v>127.5</v>
      </c>
      <c r="AD155">
        <v>132.9</v>
      </c>
    </row>
    <row r="156" spans="1:30" x14ac:dyDescent="0.35">
      <c r="A156" t="s">
        <v>32</v>
      </c>
      <c r="B156">
        <v>2017</v>
      </c>
      <c r="C156" t="s">
        <v>36</v>
      </c>
      <c r="D156">
        <v>132.69999999999999</v>
      </c>
      <c r="E156">
        <v>140.6</v>
      </c>
      <c r="F156">
        <v>124.5</v>
      </c>
      <c r="G156">
        <v>136.30000000000001</v>
      </c>
      <c r="H156">
        <v>137.69999999999999</v>
      </c>
      <c r="I156">
        <v>127.1</v>
      </c>
      <c r="J156">
        <v>133.80000000000001</v>
      </c>
      <c r="K156">
        <v>120.8</v>
      </c>
      <c r="L156">
        <v>141.30000000000001</v>
      </c>
      <c r="M156">
        <v>123.8</v>
      </c>
      <c r="N156">
        <v>142.6</v>
      </c>
      <c r="O156">
        <v>133.4</v>
      </c>
      <c r="P156">
        <v>113.5</v>
      </c>
      <c r="Q156">
        <v>131.19999999999999</v>
      </c>
      <c r="R156">
        <v>123</v>
      </c>
      <c r="S156">
        <v>130</v>
      </c>
      <c r="T156">
        <v>126</v>
      </c>
      <c r="U156">
        <v>131.69999999999999</v>
      </c>
      <c r="V156">
        <v>121.4</v>
      </c>
      <c r="W156">
        <v>114.3</v>
      </c>
      <c r="X156">
        <v>122.6</v>
      </c>
      <c r="Y156">
        <v>122.2</v>
      </c>
      <c r="Z156">
        <v>123.4</v>
      </c>
      <c r="AA156">
        <v>133.6</v>
      </c>
      <c r="AB156">
        <v>148</v>
      </c>
      <c r="AC156">
        <v>122.5</v>
      </c>
      <c r="AD156">
        <v>129.1</v>
      </c>
    </row>
    <row r="157" spans="1:30" x14ac:dyDescent="0.35">
      <c r="A157" t="s">
        <v>33</v>
      </c>
      <c r="B157">
        <v>2017</v>
      </c>
      <c r="C157" t="s">
        <v>36</v>
      </c>
      <c r="D157">
        <v>133</v>
      </c>
      <c r="E157">
        <v>139.4</v>
      </c>
      <c r="F157">
        <v>126.1</v>
      </c>
      <c r="G157">
        <v>137.19999999999999</v>
      </c>
      <c r="H157">
        <v>139.9</v>
      </c>
      <c r="I157">
        <v>123.4</v>
      </c>
      <c r="J157">
        <v>140.9</v>
      </c>
      <c r="K157">
        <v>118.5</v>
      </c>
      <c r="L157">
        <v>136.5</v>
      </c>
      <c r="M157">
        <v>127.4</v>
      </c>
      <c r="N157">
        <v>144.19999999999999</v>
      </c>
      <c r="O157">
        <v>133.5</v>
      </c>
      <c r="P157">
        <v>118.4</v>
      </c>
      <c r="Q157">
        <v>138</v>
      </c>
      <c r="R157">
        <v>131.1</v>
      </c>
      <c r="S157">
        <v>137</v>
      </c>
      <c r="T157">
        <v>130.4</v>
      </c>
      <c r="U157">
        <v>131.69999999999999</v>
      </c>
      <c r="V157">
        <v>129.80000000000001</v>
      </c>
      <c r="W157">
        <v>116.6</v>
      </c>
      <c r="X157">
        <v>125.1</v>
      </c>
      <c r="Y157">
        <v>123.1</v>
      </c>
      <c r="Z157">
        <v>128.1</v>
      </c>
      <c r="AA157">
        <v>134.5</v>
      </c>
      <c r="AB157">
        <v>145.4</v>
      </c>
      <c r="AC157">
        <v>125.1</v>
      </c>
      <c r="AD157">
        <v>131.1</v>
      </c>
    </row>
    <row r="158" spans="1:30" x14ac:dyDescent="0.35">
      <c r="A158" t="s">
        <v>30</v>
      </c>
      <c r="B158">
        <v>2017</v>
      </c>
      <c r="C158" t="s">
        <v>37</v>
      </c>
      <c r="D158">
        <v>133.1</v>
      </c>
      <c r="E158">
        <v>140.30000000000001</v>
      </c>
      <c r="F158">
        <v>126.8</v>
      </c>
      <c r="G158">
        <v>138.19999999999999</v>
      </c>
      <c r="H158">
        <v>140.19999999999999</v>
      </c>
      <c r="I158">
        <v>123.8</v>
      </c>
      <c r="J158">
        <v>141.80000000000001</v>
      </c>
      <c r="K158">
        <v>118.6</v>
      </c>
      <c r="L158">
        <v>134</v>
      </c>
      <c r="M158">
        <v>130.30000000000001</v>
      </c>
      <c r="N158">
        <v>145.80000000000001</v>
      </c>
      <c r="O158">
        <v>133.80000000000001</v>
      </c>
      <c r="P158">
        <v>120.8</v>
      </c>
      <c r="Q158">
        <v>142.5</v>
      </c>
      <c r="R158">
        <v>137.30000000000001</v>
      </c>
      <c r="S158">
        <v>141.80000000000001</v>
      </c>
      <c r="T158">
        <v>134.9</v>
      </c>
      <c r="U158">
        <v>139.2551</v>
      </c>
      <c r="V158">
        <v>135</v>
      </c>
      <c r="W158">
        <v>119.4</v>
      </c>
      <c r="X158">
        <v>129.4</v>
      </c>
      <c r="Y158">
        <v>123.7</v>
      </c>
      <c r="Z158">
        <v>131.4</v>
      </c>
      <c r="AA158">
        <v>136.30000000000001</v>
      </c>
      <c r="AB158">
        <v>145.5</v>
      </c>
      <c r="AC158">
        <v>127.9</v>
      </c>
      <c r="AD158">
        <v>133.30000000000001</v>
      </c>
    </row>
    <row r="159" spans="1:30" x14ac:dyDescent="0.35">
      <c r="A159" t="s">
        <v>32</v>
      </c>
      <c r="B159">
        <v>2017</v>
      </c>
      <c r="C159" t="s">
        <v>37</v>
      </c>
      <c r="D159">
        <v>132.6</v>
      </c>
      <c r="E159">
        <v>144.1</v>
      </c>
      <c r="F159">
        <v>125.6</v>
      </c>
      <c r="G159">
        <v>136.80000000000001</v>
      </c>
      <c r="H159">
        <v>135.19999999999999</v>
      </c>
      <c r="I159">
        <v>129.19999999999999</v>
      </c>
      <c r="J159">
        <v>131.5</v>
      </c>
      <c r="K159">
        <v>121</v>
      </c>
      <c r="L159">
        <v>139.9</v>
      </c>
      <c r="M159">
        <v>123.8</v>
      </c>
      <c r="N159">
        <v>142.9</v>
      </c>
      <c r="O159">
        <v>133.6</v>
      </c>
      <c r="P159">
        <v>113.4</v>
      </c>
      <c r="Q159">
        <v>131.5</v>
      </c>
      <c r="R159">
        <v>123.2</v>
      </c>
      <c r="S159">
        <v>130.19999999999999</v>
      </c>
      <c r="T159">
        <v>126.5</v>
      </c>
      <c r="U159">
        <v>132.1</v>
      </c>
      <c r="V159">
        <v>120.1</v>
      </c>
      <c r="W159">
        <v>114.3</v>
      </c>
      <c r="X159">
        <v>122.8</v>
      </c>
      <c r="Y159">
        <v>122</v>
      </c>
      <c r="Z159">
        <v>123.6</v>
      </c>
      <c r="AA159">
        <v>133.80000000000001</v>
      </c>
      <c r="AB159">
        <v>148.30000000000001</v>
      </c>
      <c r="AC159">
        <v>122.6</v>
      </c>
      <c r="AD159">
        <v>129.30000000000001</v>
      </c>
    </row>
    <row r="160" spans="1:30" x14ac:dyDescent="0.35">
      <c r="A160" t="s">
        <v>33</v>
      </c>
      <c r="B160">
        <v>2017</v>
      </c>
      <c r="C160" t="s">
        <v>37</v>
      </c>
      <c r="D160">
        <v>132.9</v>
      </c>
      <c r="E160">
        <v>141.6</v>
      </c>
      <c r="F160">
        <v>126.3</v>
      </c>
      <c r="G160">
        <v>137.69999999999999</v>
      </c>
      <c r="H160">
        <v>137.9</v>
      </c>
      <c r="I160">
        <v>125.6</v>
      </c>
      <c r="J160">
        <v>138.30000000000001</v>
      </c>
      <c r="K160">
        <v>119.4</v>
      </c>
      <c r="L160">
        <v>136</v>
      </c>
      <c r="M160">
        <v>127.6</v>
      </c>
      <c r="N160">
        <v>144.5</v>
      </c>
      <c r="O160">
        <v>133.69999999999999</v>
      </c>
      <c r="P160">
        <v>118.1</v>
      </c>
      <c r="Q160">
        <v>138.19999999999999</v>
      </c>
      <c r="R160">
        <v>131.4</v>
      </c>
      <c r="S160">
        <v>137.19999999999999</v>
      </c>
      <c r="T160">
        <v>130.9</v>
      </c>
      <c r="U160">
        <v>132.1</v>
      </c>
      <c r="V160">
        <v>129.4</v>
      </c>
      <c r="W160">
        <v>116.7</v>
      </c>
      <c r="X160">
        <v>125.7</v>
      </c>
      <c r="Y160">
        <v>123</v>
      </c>
      <c r="Z160">
        <v>128.4</v>
      </c>
      <c r="AA160">
        <v>134.80000000000001</v>
      </c>
      <c r="AB160">
        <v>146.19999999999999</v>
      </c>
      <c r="AC160">
        <v>125.3</v>
      </c>
      <c r="AD160">
        <v>131.4</v>
      </c>
    </row>
    <row r="161" spans="1:30" x14ac:dyDescent="0.35">
      <c r="A161" t="s">
        <v>30</v>
      </c>
      <c r="B161">
        <v>2017</v>
      </c>
      <c r="C161" t="s">
        <v>38</v>
      </c>
      <c r="D161">
        <v>133.5</v>
      </c>
      <c r="E161">
        <v>143.69999999999999</v>
      </c>
      <c r="F161">
        <v>128</v>
      </c>
      <c r="G161">
        <v>138.6</v>
      </c>
      <c r="H161">
        <v>140.9</v>
      </c>
      <c r="I161">
        <v>128.80000000000001</v>
      </c>
      <c r="J161">
        <v>140.19999999999999</v>
      </c>
      <c r="K161">
        <v>118.9</v>
      </c>
      <c r="L161">
        <v>133.5</v>
      </c>
      <c r="M161">
        <v>130.4</v>
      </c>
      <c r="N161">
        <v>146.5</v>
      </c>
      <c r="O161">
        <v>134.9</v>
      </c>
      <c r="P161">
        <v>120.9</v>
      </c>
      <c r="Q161">
        <v>143.1</v>
      </c>
      <c r="R161">
        <v>137.69999999999999</v>
      </c>
      <c r="S161">
        <v>142.30000000000001</v>
      </c>
      <c r="T161">
        <v>135.19999999999999</v>
      </c>
      <c r="U161">
        <v>139.2551</v>
      </c>
      <c r="V161">
        <v>134.80000000000001</v>
      </c>
      <c r="W161">
        <v>119.4</v>
      </c>
      <c r="X161">
        <v>129.80000000000001</v>
      </c>
      <c r="Y161">
        <v>124.1</v>
      </c>
      <c r="Z161">
        <v>131.30000000000001</v>
      </c>
      <c r="AA161">
        <v>136.9</v>
      </c>
      <c r="AB161">
        <v>145.80000000000001</v>
      </c>
      <c r="AC161">
        <v>128.1</v>
      </c>
      <c r="AD161">
        <v>133.9</v>
      </c>
    </row>
    <row r="162" spans="1:30" x14ac:dyDescent="0.35">
      <c r="A162" t="s">
        <v>32</v>
      </c>
      <c r="B162">
        <v>2017</v>
      </c>
      <c r="C162" t="s">
        <v>38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137.19999999999999</v>
      </c>
      <c r="I162">
        <v>142.19999999999999</v>
      </c>
      <c r="J162">
        <v>128.19999999999999</v>
      </c>
      <c r="K162">
        <v>120.9</v>
      </c>
      <c r="L162">
        <v>138.80000000000001</v>
      </c>
      <c r="M162">
        <v>124.2</v>
      </c>
      <c r="N162">
        <v>143.1</v>
      </c>
      <c r="O162">
        <v>135.69999999999999</v>
      </c>
      <c r="P162">
        <v>113.5</v>
      </c>
      <c r="Q162">
        <v>131.5</v>
      </c>
      <c r="R162">
        <v>123.2</v>
      </c>
      <c r="S162">
        <v>130.19999999999999</v>
      </c>
      <c r="T162">
        <v>126.8</v>
      </c>
      <c r="U162">
        <v>131.4</v>
      </c>
      <c r="V162">
        <v>119</v>
      </c>
      <c r="W162">
        <v>113.9</v>
      </c>
      <c r="X162">
        <v>122.9</v>
      </c>
      <c r="Y162">
        <v>122.5</v>
      </c>
      <c r="Z162">
        <v>123.8</v>
      </c>
      <c r="AA162">
        <v>134.30000000000001</v>
      </c>
      <c r="AB162">
        <v>148.6</v>
      </c>
      <c r="AC162">
        <v>122.7</v>
      </c>
      <c r="AD162">
        <v>129.9</v>
      </c>
    </row>
    <row r="163" spans="1:30" x14ac:dyDescent="0.35">
      <c r="A163" t="s">
        <v>33</v>
      </c>
      <c r="B163">
        <v>2017</v>
      </c>
      <c r="C163" t="s">
        <v>38</v>
      </c>
      <c r="D163">
        <v>133.30000000000001</v>
      </c>
      <c r="E163">
        <v>145.5</v>
      </c>
      <c r="F163">
        <v>128.1</v>
      </c>
      <c r="G163">
        <v>138.1</v>
      </c>
      <c r="H163">
        <v>139.19999999999999</v>
      </c>
      <c r="I163">
        <v>133.30000000000001</v>
      </c>
      <c r="J163">
        <v>136.19999999999999</v>
      </c>
      <c r="K163">
        <v>119.6</v>
      </c>
      <c r="L163">
        <v>135.30000000000001</v>
      </c>
      <c r="M163">
        <v>127.8</v>
      </c>
      <c r="N163">
        <v>144.9</v>
      </c>
      <c r="O163">
        <v>135.19999999999999</v>
      </c>
      <c r="P163">
        <v>118.2</v>
      </c>
      <c r="Q163">
        <v>138.5</v>
      </c>
      <c r="R163">
        <v>131.69999999999999</v>
      </c>
      <c r="S163">
        <v>137.5</v>
      </c>
      <c r="T163">
        <v>131.19999999999999</v>
      </c>
      <c r="U163">
        <v>131.4</v>
      </c>
      <c r="V163">
        <v>128.80000000000001</v>
      </c>
      <c r="W163">
        <v>116.5</v>
      </c>
      <c r="X163">
        <v>125.9</v>
      </c>
      <c r="Y163">
        <v>123.4</v>
      </c>
      <c r="Z163">
        <v>128.5</v>
      </c>
      <c r="AA163">
        <v>135.4</v>
      </c>
      <c r="AB163">
        <v>146.5</v>
      </c>
      <c r="AC163">
        <v>125.5</v>
      </c>
      <c r="AD163">
        <v>132</v>
      </c>
    </row>
    <row r="164" spans="1:30" x14ac:dyDescent="0.35">
      <c r="A164" t="s">
        <v>30</v>
      </c>
      <c r="B164">
        <v>2017</v>
      </c>
      <c r="C164" t="s">
        <v>39</v>
      </c>
      <c r="D164">
        <v>134</v>
      </c>
      <c r="E164">
        <v>144.19999999999999</v>
      </c>
      <c r="F164">
        <v>129.80000000000001</v>
      </c>
      <c r="G164">
        <v>139</v>
      </c>
      <c r="H164">
        <v>143.9</v>
      </c>
      <c r="I164">
        <v>151.5</v>
      </c>
      <c r="J164">
        <v>138.1</v>
      </c>
      <c r="K164">
        <v>120</v>
      </c>
      <c r="L164">
        <v>133.9</v>
      </c>
      <c r="M164">
        <v>131.4</v>
      </c>
      <c r="N164">
        <v>147.69999999999999</v>
      </c>
      <c r="O164">
        <v>138.5</v>
      </c>
      <c r="P164">
        <v>120.9</v>
      </c>
      <c r="Q164">
        <v>144.30000000000001</v>
      </c>
      <c r="R164">
        <v>138.1</v>
      </c>
      <c r="S164">
        <v>143.5</v>
      </c>
      <c r="T164">
        <v>136.1</v>
      </c>
      <c r="U164">
        <v>139.2551</v>
      </c>
      <c r="V164">
        <v>135.30000000000001</v>
      </c>
      <c r="W164">
        <v>119.1</v>
      </c>
      <c r="X164">
        <v>130.6</v>
      </c>
      <c r="Y164">
        <v>124.4</v>
      </c>
      <c r="Z164">
        <v>132.1</v>
      </c>
      <c r="AA164">
        <v>138.6</v>
      </c>
      <c r="AB164">
        <v>147.4</v>
      </c>
      <c r="AC164">
        <v>128.6</v>
      </c>
      <c r="AD164">
        <v>136.19999999999999</v>
      </c>
    </row>
    <row r="165" spans="1:30" x14ac:dyDescent="0.35">
      <c r="A165" t="s">
        <v>32</v>
      </c>
      <c r="B165">
        <v>2017</v>
      </c>
      <c r="C165" t="s">
        <v>39</v>
      </c>
      <c r="D165">
        <v>132.80000000000001</v>
      </c>
      <c r="E165">
        <v>148.4</v>
      </c>
      <c r="F165">
        <v>129.4</v>
      </c>
      <c r="G165">
        <v>137.69999999999999</v>
      </c>
      <c r="H165">
        <v>139.4</v>
      </c>
      <c r="I165">
        <v>175.1</v>
      </c>
      <c r="J165">
        <v>124.7</v>
      </c>
      <c r="K165">
        <v>121.5</v>
      </c>
      <c r="L165">
        <v>137.80000000000001</v>
      </c>
      <c r="M165">
        <v>124.4</v>
      </c>
      <c r="N165">
        <v>143.69999999999999</v>
      </c>
      <c r="O165">
        <v>139.80000000000001</v>
      </c>
      <c r="P165">
        <v>113.4</v>
      </c>
      <c r="Q165">
        <v>131.6</v>
      </c>
      <c r="R165">
        <v>123.7</v>
      </c>
      <c r="S165">
        <v>130.4</v>
      </c>
      <c r="T165">
        <v>127.2</v>
      </c>
      <c r="U165">
        <v>132.6</v>
      </c>
      <c r="V165">
        <v>119.7</v>
      </c>
      <c r="W165">
        <v>113.2</v>
      </c>
      <c r="X165">
        <v>123.5</v>
      </c>
      <c r="Y165">
        <v>122.4</v>
      </c>
      <c r="Z165">
        <v>125</v>
      </c>
      <c r="AA165">
        <v>135.5</v>
      </c>
      <c r="AB165">
        <v>150.5</v>
      </c>
      <c r="AC165">
        <v>123</v>
      </c>
      <c r="AD165">
        <v>131.80000000000001</v>
      </c>
    </row>
    <row r="166" spans="1:30" x14ac:dyDescent="0.35">
      <c r="A166" t="s">
        <v>33</v>
      </c>
      <c r="B166">
        <v>2017</v>
      </c>
      <c r="C166" t="s">
        <v>39</v>
      </c>
      <c r="D166">
        <v>133.6</v>
      </c>
      <c r="E166">
        <v>145.69999999999999</v>
      </c>
      <c r="F166">
        <v>129.6</v>
      </c>
      <c r="G166">
        <v>138.5</v>
      </c>
      <c r="H166">
        <v>141.80000000000001</v>
      </c>
      <c r="I166">
        <v>159.5</v>
      </c>
      <c r="J166">
        <v>133.6</v>
      </c>
      <c r="K166">
        <v>120.5</v>
      </c>
      <c r="L166">
        <v>135.19999999999999</v>
      </c>
      <c r="M166">
        <v>128.5</v>
      </c>
      <c r="N166">
        <v>145.80000000000001</v>
      </c>
      <c r="O166">
        <v>139</v>
      </c>
      <c r="P166">
        <v>118.1</v>
      </c>
      <c r="Q166">
        <v>139.30000000000001</v>
      </c>
      <c r="R166">
        <v>132.1</v>
      </c>
      <c r="S166">
        <v>138.30000000000001</v>
      </c>
      <c r="T166">
        <v>131.9</v>
      </c>
      <c r="U166">
        <v>132.6</v>
      </c>
      <c r="V166">
        <v>129.4</v>
      </c>
      <c r="W166">
        <v>116</v>
      </c>
      <c r="X166">
        <v>126.6</v>
      </c>
      <c r="Y166">
        <v>123.6</v>
      </c>
      <c r="Z166">
        <v>129.4</v>
      </c>
      <c r="AA166">
        <v>136.80000000000001</v>
      </c>
      <c r="AB166">
        <v>148.19999999999999</v>
      </c>
      <c r="AC166">
        <v>125.9</v>
      </c>
      <c r="AD166">
        <v>134.19999999999999</v>
      </c>
    </row>
    <row r="167" spans="1:30" x14ac:dyDescent="0.35">
      <c r="A167" t="s">
        <v>30</v>
      </c>
      <c r="B167">
        <v>2017</v>
      </c>
      <c r="C167" t="s">
        <v>40</v>
      </c>
      <c r="D167">
        <v>134.80000000000001</v>
      </c>
      <c r="E167">
        <v>143.1</v>
      </c>
      <c r="F167">
        <v>130</v>
      </c>
      <c r="G167">
        <v>139.4</v>
      </c>
      <c r="H167">
        <v>148</v>
      </c>
      <c r="I167">
        <v>162.9</v>
      </c>
      <c r="J167">
        <v>137.4</v>
      </c>
      <c r="K167">
        <v>120.8</v>
      </c>
      <c r="L167">
        <v>134.69999999999999</v>
      </c>
      <c r="M167">
        <v>131.6</v>
      </c>
      <c r="N167">
        <v>148.69999999999999</v>
      </c>
      <c r="O167">
        <v>140.6</v>
      </c>
      <c r="P167">
        <v>120.5</v>
      </c>
      <c r="Q167">
        <v>145.30000000000001</v>
      </c>
      <c r="R167">
        <v>139.19999999999999</v>
      </c>
      <c r="S167">
        <v>144.5</v>
      </c>
      <c r="T167">
        <v>137.30000000000001</v>
      </c>
      <c r="U167">
        <v>139.2551</v>
      </c>
      <c r="V167">
        <v>136.4</v>
      </c>
      <c r="W167">
        <v>120.3</v>
      </c>
      <c r="X167">
        <v>131.5</v>
      </c>
      <c r="Y167">
        <v>125.4</v>
      </c>
      <c r="Z167">
        <v>133</v>
      </c>
      <c r="AA167">
        <v>140.19999999999999</v>
      </c>
      <c r="AB167">
        <v>149</v>
      </c>
      <c r="AC167">
        <v>129.69999999999999</v>
      </c>
      <c r="AD167">
        <v>137.80000000000001</v>
      </c>
    </row>
    <row r="168" spans="1:30" x14ac:dyDescent="0.35">
      <c r="A168" t="s">
        <v>32</v>
      </c>
      <c r="B168">
        <v>2017</v>
      </c>
      <c r="C168" t="s">
        <v>40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142.69999999999999</v>
      </c>
      <c r="I168">
        <v>179.8</v>
      </c>
      <c r="J168">
        <v>123.5</v>
      </c>
      <c r="K168">
        <v>122.1</v>
      </c>
      <c r="L168">
        <v>137.5</v>
      </c>
      <c r="M168">
        <v>124.6</v>
      </c>
      <c r="N168">
        <v>144.5</v>
      </c>
      <c r="O168">
        <v>140.5</v>
      </c>
      <c r="P168">
        <v>114.1</v>
      </c>
      <c r="Q168">
        <v>132.69999999999999</v>
      </c>
      <c r="R168">
        <v>124.3</v>
      </c>
      <c r="S168">
        <v>131.4</v>
      </c>
      <c r="T168">
        <v>127.7</v>
      </c>
      <c r="U168">
        <v>134.4</v>
      </c>
      <c r="V168">
        <v>118.9</v>
      </c>
      <c r="W168">
        <v>114.6</v>
      </c>
      <c r="X168">
        <v>124.1</v>
      </c>
      <c r="Y168">
        <v>123.3</v>
      </c>
      <c r="Z168">
        <v>125.7</v>
      </c>
      <c r="AA168">
        <v>135.69999999999999</v>
      </c>
      <c r="AB168">
        <v>152.1</v>
      </c>
      <c r="AC168">
        <v>123.8</v>
      </c>
      <c r="AD168">
        <v>132.69999999999999</v>
      </c>
    </row>
    <row r="169" spans="1:30" x14ac:dyDescent="0.35">
      <c r="A169" t="s">
        <v>33</v>
      </c>
      <c r="B169">
        <v>2017</v>
      </c>
      <c r="C169" t="s">
        <v>40</v>
      </c>
      <c r="D169">
        <v>134.30000000000001</v>
      </c>
      <c r="E169">
        <v>143.4</v>
      </c>
      <c r="F169">
        <v>129.30000000000001</v>
      </c>
      <c r="G169">
        <v>139</v>
      </c>
      <c r="H169">
        <v>145.5</v>
      </c>
      <c r="I169">
        <v>168.6</v>
      </c>
      <c r="J169">
        <v>132.69999999999999</v>
      </c>
      <c r="K169">
        <v>121.2</v>
      </c>
      <c r="L169">
        <v>135.6</v>
      </c>
      <c r="M169">
        <v>128.69999999999999</v>
      </c>
      <c r="N169">
        <v>146.80000000000001</v>
      </c>
      <c r="O169">
        <v>140.6</v>
      </c>
      <c r="P169">
        <v>118.1</v>
      </c>
      <c r="Q169">
        <v>140.30000000000001</v>
      </c>
      <c r="R169">
        <v>133</v>
      </c>
      <c r="S169">
        <v>139.30000000000001</v>
      </c>
      <c r="T169">
        <v>132.80000000000001</v>
      </c>
      <c r="U169">
        <v>134.4</v>
      </c>
      <c r="V169">
        <v>129.80000000000001</v>
      </c>
      <c r="W169">
        <v>117.3</v>
      </c>
      <c r="X169">
        <v>127.3</v>
      </c>
      <c r="Y169">
        <v>124.5</v>
      </c>
      <c r="Z169">
        <v>130.19999999999999</v>
      </c>
      <c r="AA169">
        <v>137.6</v>
      </c>
      <c r="AB169">
        <v>149.80000000000001</v>
      </c>
      <c r="AC169">
        <v>126.8</v>
      </c>
      <c r="AD169">
        <v>135.4</v>
      </c>
    </row>
    <row r="170" spans="1:30" x14ac:dyDescent="0.35">
      <c r="A170" t="s">
        <v>30</v>
      </c>
      <c r="B170">
        <v>2017</v>
      </c>
      <c r="C170" t="s">
        <v>41</v>
      </c>
      <c r="D170">
        <v>135.19999999999999</v>
      </c>
      <c r="E170">
        <v>142</v>
      </c>
      <c r="F170">
        <v>130.5</v>
      </c>
      <c r="G170">
        <v>140.19999999999999</v>
      </c>
      <c r="H170">
        <v>147.80000000000001</v>
      </c>
      <c r="I170">
        <v>154.5</v>
      </c>
      <c r="J170">
        <v>137.1</v>
      </c>
      <c r="K170">
        <v>121</v>
      </c>
      <c r="L170">
        <v>134.69999999999999</v>
      </c>
      <c r="M170">
        <v>131.69999999999999</v>
      </c>
      <c r="N170">
        <v>149.30000000000001</v>
      </c>
      <c r="O170">
        <v>139.6</v>
      </c>
      <c r="P170">
        <v>120.7</v>
      </c>
      <c r="Q170">
        <v>146.1</v>
      </c>
      <c r="R170">
        <v>139.69999999999999</v>
      </c>
      <c r="S170">
        <v>145.19999999999999</v>
      </c>
      <c r="T170">
        <v>137.9</v>
      </c>
      <c r="U170">
        <v>139.2551</v>
      </c>
      <c r="V170">
        <v>137.4</v>
      </c>
      <c r="W170">
        <v>121.2</v>
      </c>
      <c r="X170">
        <v>132.30000000000001</v>
      </c>
      <c r="Y170">
        <v>126.7</v>
      </c>
      <c r="Z170">
        <v>133.4</v>
      </c>
      <c r="AA170">
        <v>139.6</v>
      </c>
      <c r="AB170">
        <v>149.80000000000001</v>
      </c>
      <c r="AC170">
        <v>130.30000000000001</v>
      </c>
      <c r="AD170">
        <v>137.6</v>
      </c>
    </row>
    <row r="171" spans="1:30" x14ac:dyDescent="0.35">
      <c r="A171" t="s">
        <v>32</v>
      </c>
      <c r="B171">
        <v>2017</v>
      </c>
      <c r="C171" t="s">
        <v>41</v>
      </c>
      <c r="D171">
        <v>133.6</v>
      </c>
      <c r="E171">
        <v>143</v>
      </c>
      <c r="F171">
        <v>129.69999999999999</v>
      </c>
      <c r="G171">
        <v>138.69999999999999</v>
      </c>
      <c r="H171">
        <v>137.5</v>
      </c>
      <c r="I171">
        <v>160.69999999999999</v>
      </c>
      <c r="J171">
        <v>124.5</v>
      </c>
      <c r="K171">
        <v>122.4</v>
      </c>
      <c r="L171">
        <v>137.30000000000001</v>
      </c>
      <c r="M171">
        <v>124.8</v>
      </c>
      <c r="N171">
        <v>145</v>
      </c>
      <c r="O171">
        <v>138</v>
      </c>
      <c r="P171">
        <v>114.5</v>
      </c>
      <c r="Q171">
        <v>133.30000000000001</v>
      </c>
      <c r="R171">
        <v>124.6</v>
      </c>
      <c r="S171">
        <v>132</v>
      </c>
      <c r="T171">
        <v>128.1</v>
      </c>
      <c r="U171">
        <v>135.69999999999999</v>
      </c>
      <c r="V171">
        <v>120.6</v>
      </c>
      <c r="W171">
        <v>115.7</v>
      </c>
      <c r="X171">
        <v>124.5</v>
      </c>
      <c r="Y171">
        <v>124.4</v>
      </c>
      <c r="Z171">
        <v>126.1</v>
      </c>
      <c r="AA171">
        <v>135.9</v>
      </c>
      <c r="AB171">
        <v>153.6</v>
      </c>
      <c r="AC171">
        <v>124.5</v>
      </c>
      <c r="AD171">
        <v>132.4</v>
      </c>
    </row>
    <row r="172" spans="1:30" x14ac:dyDescent="0.35">
      <c r="A172" t="s">
        <v>33</v>
      </c>
      <c r="B172">
        <v>2017</v>
      </c>
      <c r="C172" t="s">
        <v>41</v>
      </c>
      <c r="D172">
        <v>134.69999999999999</v>
      </c>
      <c r="E172">
        <v>142.4</v>
      </c>
      <c r="F172">
        <v>130.19999999999999</v>
      </c>
      <c r="G172">
        <v>139.6</v>
      </c>
      <c r="H172">
        <v>143</v>
      </c>
      <c r="I172">
        <v>156.6</v>
      </c>
      <c r="J172">
        <v>132.9</v>
      </c>
      <c r="K172">
        <v>121.5</v>
      </c>
      <c r="L172">
        <v>135.6</v>
      </c>
      <c r="M172">
        <v>128.80000000000001</v>
      </c>
      <c r="N172">
        <v>147.30000000000001</v>
      </c>
      <c r="O172">
        <v>139</v>
      </c>
      <c r="P172">
        <v>118.4</v>
      </c>
      <c r="Q172">
        <v>141.1</v>
      </c>
      <c r="R172">
        <v>133.4</v>
      </c>
      <c r="S172">
        <v>140</v>
      </c>
      <c r="T172">
        <v>133.30000000000001</v>
      </c>
      <c r="U172">
        <v>135.69999999999999</v>
      </c>
      <c r="V172">
        <v>131</v>
      </c>
      <c r="W172">
        <v>118.3</v>
      </c>
      <c r="X172">
        <v>127.9</v>
      </c>
      <c r="Y172">
        <v>125.7</v>
      </c>
      <c r="Z172">
        <v>130.6</v>
      </c>
      <c r="AA172">
        <v>137.4</v>
      </c>
      <c r="AB172">
        <v>150.80000000000001</v>
      </c>
      <c r="AC172">
        <v>127.5</v>
      </c>
      <c r="AD172">
        <v>135.19999999999999</v>
      </c>
    </row>
    <row r="173" spans="1:30" x14ac:dyDescent="0.35">
      <c r="A173" t="s">
        <v>30</v>
      </c>
      <c r="B173">
        <v>2017</v>
      </c>
      <c r="C173" t="s">
        <v>42</v>
      </c>
      <c r="D173">
        <v>135.9</v>
      </c>
      <c r="E173">
        <v>141.9</v>
      </c>
      <c r="F173">
        <v>131</v>
      </c>
      <c r="G173">
        <v>141.5</v>
      </c>
      <c r="H173">
        <v>146.69999999999999</v>
      </c>
      <c r="I173">
        <v>157.1</v>
      </c>
      <c r="J173">
        <v>136.4</v>
      </c>
      <c r="K173">
        <v>121.4</v>
      </c>
      <c r="L173">
        <v>135.6</v>
      </c>
      <c r="M173">
        <v>131.30000000000001</v>
      </c>
      <c r="N173">
        <v>150.30000000000001</v>
      </c>
      <c r="O173">
        <v>140.4</v>
      </c>
      <c r="P173">
        <v>121.4</v>
      </c>
      <c r="Q173">
        <v>147.19999999999999</v>
      </c>
      <c r="R173">
        <v>140.6</v>
      </c>
      <c r="S173">
        <v>146.19999999999999</v>
      </c>
      <c r="T173">
        <v>138.4</v>
      </c>
      <c r="U173">
        <v>139.2551</v>
      </c>
      <c r="V173">
        <v>138.1</v>
      </c>
      <c r="W173">
        <v>121</v>
      </c>
      <c r="X173">
        <v>133</v>
      </c>
      <c r="Y173">
        <v>127.4</v>
      </c>
      <c r="Z173">
        <v>134.19999999999999</v>
      </c>
      <c r="AA173">
        <v>140.1</v>
      </c>
      <c r="AB173">
        <v>150.5</v>
      </c>
      <c r="AC173">
        <v>130.69999999999999</v>
      </c>
      <c r="AD173">
        <v>138.30000000000001</v>
      </c>
    </row>
    <row r="174" spans="1:30" x14ac:dyDescent="0.35">
      <c r="A174" t="s">
        <v>32</v>
      </c>
      <c r="B174">
        <v>2017</v>
      </c>
      <c r="C174" t="s">
        <v>42</v>
      </c>
      <c r="D174">
        <v>133.9</v>
      </c>
      <c r="E174">
        <v>142.80000000000001</v>
      </c>
      <c r="F174">
        <v>131.4</v>
      </c>
      <c r="G174">
        <v>139.1</v>
      </c>
      <c r="H174">
        <v>135.6</v>
      </c>
      <c r="I174">
        <v>173.2</v>
      </c>
      <c r="J174">
        <v>124.1</v>
      </c>
      <c r="K174">
        <v>122.6</v>
      </c>
      <c r="L174">
        <v>137.80000000000001</v>
      </c>
      <c r="M174">
        <v>125.1</v>
      </c>
      <c r="N174">
        <v>145.5</v>
      </c>
      <c r="O174">
        <v>139.69999999999999</v>
      </c>
      <c r="P174">
        <v>114.9</v>
      </c>
      <c r="Q174">
        <v>134</v>
      </c>
      <c r="R174">
        <v>124.9</v>
      </c>
      <c r="S174">
        <v>132.6</v>
      </c>
      <c r="T174">
        <v>128.30000000000001</v>
      </c>
      <c r="U174">
        <v>137.30000000000001</v>
      </c>
      <c r="V174">
        <v>122.6</v>
      </c>
      <c r="W174">
        <v>115</v>
      </c>
      <c r="X174">
        <v>124.8</v>
      </c>
      <c r="Y174">
        <v>124.6</v>
      </c>
      <c r="Z174">
        <v>126.6</v>
      </c>
      <c r="AA174">
        <v>136.30000000000001</v>
      </c>
      <c r="AB174">
        <v>154.6</v>
      </c>
      <c r="AC174">
        <v>124.5</v>
      </c>
      <c r="AD174">
        <v>133.5</v>
      </c>
    </row>
    <row r="175" spans="1:30" x14ac:dyDescent="0.35">
      <c r="A175" t="s">
        <v>33</v>
      </c>
      <c r="B175">
        <v>2017</v>
      </c>
      <c r="C175" t="s">
        <v>42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141.5</v>
      </c>
      <c r="I175">
        <v>162.6</v>
      </c>
      <c r="J175">
        <v>132.30000000000001</v>
      </c>
      <c r="K175">
        <v>121.8</v>
      </c>
      <c r="L175">
        <v>136.30000000000001</v>
      </c>
      <c r="M175">
        <v>128.69999999999999</v>
      </c>
      <c r="N175">
        <v>148.1</v>
      </c>
      <c r="O175">
        <v>140.1</v>
      </c>
      <c r="P175">
        <v>119</v>
      </c>
      <c r="Q175">
        <v>142</v>
      </c>
      <c r="R175">
        <v>134.1</v>
      </c>
      <c r="S175">
        <v>140.80000000000001</v>
      </c>
      <c r="T175">
        <v>133.6</v>
      </c>
      <c r="U175">
        <v>137.30000000000001</v>
      </c>
      <c r="V175">
        <v>132.19999999999999</v>
      </c>
      <c r="W175">
        <v>117.8</v>
      </c>
      <c r="X175">
        <v>128.4</v>
      </c>
      <c r="Y175">
        <v>126.2</v>
      </c>
      <c r="Z175">
        <v>131.30000000000001</v>
      </c>
      <c r="AA175">
        <v>137.9</v>
      </c>
      <c r="AB175">
        <v>151.6</v>
      </c>
      <c r="AC175">
        <v>127.7</v>
      </c>
      <c r="AD175">
        <v>136.1</v>
      </c>
    </row>
    <row r="176" spans="1:30" x14ac:dyDescent="0.35">
      <c r="A176" t="s">
        <v>30</v>
      </c>
      <c r="B176">
        <v>2017</v>
      </c>
      <c r="C176" t="s">
        <v>44</v>
      </c>
      <c r="D176">
        <v>136.30000000000001</v>
      </c>
      <c r="E176">
        <v>142.5</v>
      </c>
      <c r="F176">
        <v>140.5</v>
      </c>
      <c r="G176">
        <v>141.5</v>
      </c>
      <c r="H176">
        <v>147.30000000000001</v>
      </c>
      <c r="I176">
        <v>168</v>
      </c>
      <c r="J176">
        <v>135.80000000000001</v>
      </c>
      <c r="K176">
        <v>122.5</v>
      </c>
      <c r="L176">
        <v>136</v>
      </c>
      <c r="M176">
        <v>131.9</v>
      </c>
      <c r="N176">
        <v>151.4</v>
      </c>
      <c r="O176">
        <v>142.4</v>
      </c>
      <c r="P176">
        <v>121.6</v>
      </c>
      <c r="Q176">
        <v>148.19999999999999</v>
      </c>
      <c r="R176">
        <v>141.5</v>
      </c>
      <c r="S176">
        <v>147.30000000000001</v>
      </c>
      <c r="T176">
        <v>139.4</v>
      </c>
      <c r="U176">
        <v>139.2551</v>
      </c>
      <c r="V176">
        <v>141.1</v>
      </c>
      <c r="W176">
        <v>121.6</v>
      </c>
      <c r="X176">
        <v>133.69999999999999</v>
      </c>
      <c r="Y176">
        <v>128.1</v>
      </c>
      <c r="Z176">
        <v>135.80000000000001</v>
      </c>
      <c r="AA176">
        <v>141.5</v>
      </c>
      <c r="AB176">
        <v>152.1</v>
      </c>
      <c r="AC176">
        <v>131.69999999999999</v>
      </c>
      <c r="AD176">
        <v>140</v>
      </c>
    </row>
    <row r="177" spans="1:30" x14ac:dyDescent="0.35">
      <c r="A177" t="s">
        <v>32</v>
      </c>
      <c r="B177">
        <v>2017</v>
      </c>
      <c r="C177" t="s">
        <v>44</v>
      </c>
      <c r="D177">
        <v>134.30000000000001</v>
      </c>
      <c r="E177">
        <v>142.1</v>
      </c>
      <c r="F177">
        <v>146.69999999999999</v>
      </c>
      <c r="G177">
        <v>139.5</v>
      </c>
      <c r="H177">
        <v>136.4</v>
      </c>
      <c r="I177">
        <v>185.2</v>
      </c>
      <c r="J177">
        <v>122.2</v>
      </c>
      <c r="K177">
        <v>123.9</v>
      </c>
      <c r="L177">
        <v>138.30000000000001</v>
      </c>
      <c r="M177">
        <v>125.4</v>
      </c>
      <c r="N177">
        <v>146</v>
      </c>
      <c r="O177">
        <v>141.5</v>
      </c>
      <c r="P177">
        <v>115.2</v>
      </c>
      <c r="Q177">
        <v>135</v>
      </c>
      <c r="R177">
        <v>125.4</v>
      </c>
      <c r="S177">
        <v>133.5</v>
      </c>
      <c r="T177">
        <v>128.80000000000001</v>
      </c>
      <c r="U177">
        <v>138.6</v>
      </c>
      <c r="V177">
        <v>125.7</v>
      </c>
      <c r="W177">
        <v>115.3</v>
      </c>
      <c r="X177">
        <v>125.1</v>
      </c>
      <c r="Y177">
        <v>124.9</v>
      </c>
      <c r="Z177">
        <v>127.4</v>
      </c>
      <c r="AA177">
        <v>136.6</v>
      </c>
      <c r="AB177">
        <v>156.19999999999999</v>
      </c>
      <c r="AC177">
        <v>124.9</v>
      </c>
      <c r="AD177">
        <v>134.80000000000001</v>
      </c>
    </row>
    <row r="178" spans="1:30" x14ac:dyDescent="0.35">
      <c r="A178" t="s">
        <v>33</v>
      </c>
      <c r="B178">
        <v>2017</v>
      </c>
      <c r="C178" t="s">
        <v>44</v>
      </c>
      <c r="D178">
        <v>135.69999999999999</v>
      </c>
      <c r="E178">
        <v>142.4</v>
      </c>
      <c r="F178">
        <v>142.9</v>
      </c>
      <c r="G178">
        <v>140.80000000000001</v>
      </c>
      <c r="H178">
        <v>142.19999999999999</v>
      </c>
      <c r="I178">
        <v>173.8</v>
      </c>
      <c r="J178">
        <v>131.19999999999999</v>
      </c>
      <c r="K178">
        <v>123</v>
      </c>
      <c r="L178">
        <v>136.80000000000001</v>
      </c>
      <c r="M178">
        <v>129.19999999999999</v>
      </c>
      <c r="N178">
        <v>148.9</v>
      </c>
      <c r="O178">
        <v>142.1</v>
      </c>
      <c r="P178">
        <v>119.2</v>
      </c>
      <c r="Q178">
        <v>143</v>
      </c>
      <c r="R178">
        <v>134.80000000000001</v>
      </c>
      <c r="S178">
        <v>141.80000000000001</v>
      </c>
      <c r="T178">
        <v>134.4</v>
      </c>
      <c r="U178">
        <v>138.6</v>
      </c>
      <c r="V178">
        <v>135.30000000000001</v>
      </c>
      <c r="W178">
        <v>118.3</v>
      </c>
      <c r="X178">
        <v>128.9</v>
      </c>
      <c r="Y178">
        <v>126.8</v>
      </c>
      <c r="Z178">
        <v>132.6</v>
      </c>
      <c r="AA178">
        <v>138.6</v>
      </c>
      <c r="AB178">
        <v>153.19999999999999</v>
      </c>
      <c r="AC178">
        <v>128.4</v>
      </c>
      <c r="AD178">
        <v>137.6</v>
      </c>
    </row>
    <row r="179" spans="1:30" x14ac:dyDescent="0.35">
      <c r="A179" t="s">
        <v>30</v>
      </c>
      <c r="B179">
        <v>2017</v>
      </c>
      <c r="C179" t="s">
        <v>45</v>
      </c>
      <c r="D179">
        <v>136.4</v>
      </c>
      <c r="E179">
        <v>143.69999999999999</v>
      </c>
      <c r="F179">
        <v>144.80000000000001</v>
      </c>
      <c r="G179">
        <v>141.9</v>
      </c>
      <c r="H179">
        <v>147.19999999999999</v>
      </c>
      <c r="I179">
        <v>161</v>
      </c>
      <c r="J179">
        <v>133.80000000000001</v>
      </c>
      <c r="K179">
        <v>121.9</v>
      </c>
      <c r="L179">
        <v>135.80000000000001</v>
      </c>
      <c r="M179">
        <v>131.1</v>
      </c>
      <c r="N179">
        <v>151.4</v>
      </c>
      <c r="O179">
        <v>141.5</v>
      </c>
      <c r="P179">
        <v>123.1</v>
      </c>
      <c r="Q179">
        <v>148</v>
      </c>
      <c r="R179">
        <v>141.9</v>
      </c>
      <c r="S179">
        <v>147.19999999999999</v>
      </c>
      <c r="T179">
        <v>139.5</v>
      </c>
      <c r="U179">
        <v>139.2551</v>
      </c>
      <c r="V179">
        <v>142.6</v>
      </c>
      <c r="W179">
        <v>122</v>
      </c>
      <c r="X179">
        <v>133.4</v>
      </c>
      <c r="Y179">
        <v>127.8</v>
      </c>
      <c r="Z179">
        <v>136.1</v>
      </c>
      <c r="AA179">
        <v>141.1</v>
      </c>
      <c r="AB179">
        <v>153.19999999999999</v>
      </c>
      <c r="AC179">
        <v>131.9</v>
      </c>
      <c r="AD179">
        <v>139.80000000000001</v>
      </c>
    </row>
    <row r="180" spans="1:30" x14ac:dyDescent="0.35">
      <c r="A180" t="s">
        <v>32</v>
      </c>
      <c r="B180">
        <v>2017</v>
      </c>
      <c r="C180" t="s">
        <v>45</v>
      </c>
      <c r="D180">
        <v>134.4</v>
      </c>
      <c r="E180">
        <v>142.6</v>
      </c>
      <c r="F180">
        <v>145.9</v>
      </c>
      <c r="G180">
        <v>139.5</v>
      </c>
      <c r="H180">
        <v>135</v>
      </c>
      <c r="I180">
        <v>163.19999999999999</v>
      </c>
      <c r="J180">
        <v>119.8</v>
      </c>
      <c r="K180">
        <v>120.7</v>
      </c>
      <c r="L180">
        <v>139.69999999999999</v>
      </c>
      <c r="M180">
        <v>125.7</v>
      </c>
      <c r="N180">
        <v>146.30000000000001</v>
      </c>
      <c r="O180">
        <v>138.80000000000001</v>
      </c>
      <c r="P180">
        <v>115.9</v>
      </c>
      <c r="Q180">
        <v>135.6</v>
      </c>
      <c r="R180">
        <v>125.6</v>
      </c>
      <c r="S180">
        <v>134</v>
      </c>
      <c r="T180">
        <v>129.30000000000001</v>
      </c>
      <c r="U180">
        <v>139.1</v>
      </c>
      <c r="V180">
        <v>126.8</v>
      </c>
      <c r="W180">
        <v>115.3</v>
      </c>
      <c r="X180">
        <v>125.6</v>
      </c>
      <c r="Y180">
        <v>124.6</v>
      </c>
      <c r="Z180">
        <v>128.19999999999999</v>
      </c>
      <c r="AA180">
        <v>136.69999999999999</v>
      </c>
      <c r="AB180">
        <v>157</v>
      </c>
      <c r="AC180">
        <v>125.1</v>
      </c>
      <c r="AD180">
        <v>134.1</v>
      </c>
    </row>
    <row r="181" spans="1:30" x14ac:dyDescent="0.35">
      <c r="A181" t="s">
        <v>33</v>
      </c>
      <c r="B181">
        <v>2017</v>
      </c>
      <c r="C181" t="s">
        <v>45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141.5</v>
      </c>
      <c r="I181">
        <v>161.69999999999999</v>
      </c>
      <c r="J181">
        <v>129.1</v>
      </c>
      <c r="K181">
        <v>121.5</v>
      </c>
      <c r="L181">
        <v>137.1</v>
      </c>
      <c r="M181">
        <v>128.80000000000001</v>
      </c>
      <c r="N181">
        <v>149</v>
      </c>
      <c r="O181">
        <v>140.5</v>
      </c>
      <c r="P181">
        <v>120.5</v>
      </c>
      <c r="Q181">
        <v>143.1</v>
      </c>
      <c r="R181">
        <v>135.1</v>
      </c>
      <c r="S181">
        <v>142</v>
      </c>
      <c r="T181">
        <v>134.69999999999999</v>
      </c>
      <c r="U181">
        <v>139.1</v>
      </c>
      <c r="V181">
        <v>136.6</v>
      </c>
      <c r="W181">
        <v>118.5</v>
      </c>
      <c r="X181">
        <v>129</v>
      </c>
      <c r="Y181">
        <v>126.5</v>
      </c>
      <c r="Z181">
        <v>133.1</v>
      </c>
      <c r="AA181">
        <v>138.5</v>
      </c>
      <c r="AB181">
        <v>154.19999999999999</v>
      </c>
      <c r="AC181">
        <v>128.6</v>
      </c>
      <c r="AD181">
        <v>137.19999999999999</v>
      </c>
    </row>
    <row r="182" spans="1:30" x14ac:dyDescent="0.35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147.9</v>
      </c>
      <c r="I182">
        <v>152.1</v>
      </c>
      <c r="J182">
        <v>131.80000000000001</v>
      </c>
      <c r="K182">
        <v>119.5</v>
      </c>
      <c r="L182">
        <v>136</v>
      </c>
      <c r="M182">
        <v>131.19999999999999</v>
      </c>
      <c r="N182">
        <v>151.80000000000001</v>
      </c>
      <c r="O182">
        <v>140.4</v>
      </c>
      <c r="P182">
        <v>123.2</v>
      </c>
      <c r="Q182">
        <v>148.30000000000001</v>
      </c>
      <c r="R182">
        <v>142.30000000000001</v>
      </c>
      <c r="S182">
        <v>147.5</v>
      </c>
      <c r="T182">
        <v>139.80000000000001</v>
      </c>
      <c r="U182">
        <v>139.2551</v>
      </c>
      <c r="V182">
        <v>142.30000000000001</v>
      </c>
      <c r="W182">
        <v>122.7</v>
      </c>
      <c r="X182">
        <v>134.30000000000001</v>
      </c>
      <c r="Y182">
        <v>128.6</v>
      </c>
      <c r="Z182">
        <v>136</v>
      </c>
      <c r="AA182">
        <v>141.6</v>
      </c>
      <c r="AB182">
        <v>153.6</v>
      </c>
      <c r="AC182">
        <v>132.30000000000001</v>
      </c>
      <c r="AD182">
        <v>139.30000000000001</v>
      </c>
    </row>
    <row r="183" spans="1:30" x14ac:dyDescent="0.35">
      <c r="A183" t="s">
        <v>32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133.80000000000001</v>
      </c>
      <c r="I183">
        <v>150.5</v>
      </c>
      <c r="J183">
        <v>118.4</v>
      </c>
      <c r="K183">
        <v>117.3</v>
      </c>
      <c r="L183">
        <v>140.5</v>
      </c>
      <c r="M183">
        <v>125.9</v>
      </c>
      <c r="N183">
        <v>146.80000000000001</v>
      </c>
      <c r="O183">
        <v>137.19999999999999</v>
      </c>
      <c r="P183">
        <v>116.4</v>
      </c>
      <c r="Q183">
        <v>136</v>
      </c>
      <c r="R183">
        <v>125.9</v>
      </c>
      <c r="S183">
        <v>134.4</v>
      </c>
      <c r="T183">
        <v>129.5</v>
      </c>
      <c r="U183">
        <v>140.4</v>
      </c>
      <c r="V183">
        <v>127.3</v>
      </c>
      <c r="W183">
        <v>116.3</v>
      </c>
      <c r="X183">
        <v>126.2</v>
      </c>
      <c r="Y183">
        <v>125.5</v>
      </c>
      <c r="Z183">
        <v>129</v>
      </c>
      <c r="AA183">
        <v>137.1</v>
      </c>
      <c r="AB183">
        <v>157.69999999999999</v>
      </c>
      <c r="AC183">
        <v>125.8</v>
      </c>
      <c r="AD183">
        <v>134.1</v>
      </c>
    </row>
    <row r="184" spans="1:30" x14ac:dyDescent="0.35">
      <c r="A184" t="s">
        <v>33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141.30000000000001</v>
      </c>
      <c r="I184">
        <v>151.6</v>
      </c>
      <c r="J184">
        <v>127.3</v>
      </c>
      <c r="K184">
        <v>118.8</v>
      </c>
      <c r="L184">
        <v>137.5</v>
      </c>
      <c r="M184">
        <v>129</v>
      </c>
      <c r="N184">
        <v>149.5</v>
      </c>
      <c r="O184">
        <v>139.19999999999999</v>
      </c>
      <c r="P184">
        <v>120.7</v>
      </c>
      <c r="Q184">
        <v>143.5</v>
      </c>
      <c r="R184">
        <v>135.5</v>
      </c>
      <c r="S184">
        <v>142.30000000000001</v>
      </c>
      <c r="T184">
        <v>134.9</v>
      </c>
      <c r="U184">
        <v>140.4</v>
      </c>
      <c r="V184">
        <v>136.6</v>
      </c>
      <c r="W184">
        <v>119.3</v>
      </c>
      <c r="X184">
        <v>129.69999999999999</v>
      </c>
      <c r="Y184">
        <v>127.3</v>
      </c>
      <c r="Z184">
        <v>133.30000000000001</v>
      </c>
      <c r="AA184">
        <v>139</v>
      </c>
      <c r="AB184">
        <v>154.69999999999999</v>
      </c>
      <c r="AC184">
        <v>129.1</v>
      </c>
      <c r="AD184">
        <v>136.9</v>
      </c>
    </row>
    <row r="185" spans="1:30" x14ac:dyDescent="0.35">
      <c r="A185" t="s">
        <v>30</v>
      </c>
      <c r="B185">
        <v>2018</v>
      </c>
      <c r="C185" t="s">
        <v>34</v>
      </c>
      <c r="D185">
        <v>136.4</v>
      </c>
      <c r="E185">
        <v>143.69999999999999</v>
      </c>
      <c r="F185">
        <v>140.6</v>
      </c>
      <c r="G185">
        <v>141.5</v>
      </c>
      <c r="H185">
        <v>149.4</v>
      </c>
      <c r="I185">
        <v>142.4</v>
      </c>
      <c r="J185">
        <v>130.19999999999999</v>
      </c>
      <c r="K185">
        <v>117.9</v>
      </c>
      <c r="L185">
        <v>135.6</v>
      </c>
      <c r="M185">
        <v>130.5</v>
      </c>
      <c r="N185">
        <v>151.69999999999999</v>
      </c>
      <c r="O185">
        <v>138.69999999999999</v>
      </c>
      <c r="P185">
        <v>122.9</v>
      </c>
      <c r="Q185">
        <v>148.69999999999999</v>
      </c>
      <c r="R185">
        <v>142.4</v>
      </c>
      <c r="S185">
        <v>147.80000000000001</v>
      </c>
      <c r="T185">
        <v>139.9</v>
      </c>
      <c r="U185">
        <v>139.2551</v>
      </c>
      <c r="V185">
        <v>142.4</v>
      </c>
      <c r="W185">
        <v>123.3</v>
      </c>
      <c r="X185">
        <v>134.30000000000001</v>
      </c>
      <c r="Y185">
        <v>128.80000000000001</v>
      </c>
      <c r="Z185">
        <v>136.19999999999999</v>
      </c>
      <c r="AA185">
        <v>141.5</v>
      </c>
      <c r="AB185">
        <v>153.30000000000001</v>
      </c>
      <c r="AC185">
        <v>132.5</v>
      </c>
      <c r="AD185">
        <v>138.5</v>
      </c>
    </row>
    <row r="186" spans="1:30" x14ac:dyDescent="0.35">
      <c r="A186" t="s">
        <v>32</v>
      </c>
      <c r="B186">
        <v>2018</v>
      </c>
      <c r="C186" t="s">
        <v>34</v>
      </c>
      <c r="D186">
        <v>134.80000000000001</v>
      </c>
      <c r="E186">
        <v>143</v>
      </c>
      <c r="F186">
        <v>139.9</v>
      </c>
      <c r="G186">
        <v>139.9</v>
      </c>
      <c r="H186">
        <v>135.5</v>
      </c>
      <c r="I186">
        <v>136.9</v>
      </c>
      <c r="J186">
        <v>117</v>
      </c>
      <c r="K186">
        <v>115.4</v>
      </c>
      <c r="L186">
        <v>140.69999999999999</v>
      </c>
      <c r="M186">
        <v>125.9</v>
      </c>
      <c r="N186">
        <v>147.1</v>
      </c>
      <c r="O186">
        <v>135.6</v>
      </c>
      <c r="P186">
        <v>116.2</v>
      </c>
      <c r="Q186">
        <v>136.30000000000001</v>
      </c>
      <c r="R186">
        <v>126.1</v>
      </c>
      <c r="S186">
        <v>134.69999999999999</v>
      </c>
      <c r="T186">
        <v>129.9</v>
      </c>
      <c r="U186">
        <v>141.30000000000001</v>
      </c>
      <c r="V186">
        <v>127.3</v>
      </c>
      <c r="W186">
        <v>117.4</v>
      </c>
      <c r="X186">
        <v>126.5</v>
      </c>
      <c r="Y186">
        <v>126.2</v>
      </c>
      <c r="Z186">
        <v>129.80000000000001</v>
      </c>
      <c r="AA186">
        <v>137.19999999999999</v>
      </c>
      <c r="AB186">
        <v>159.30000000000001</v>
      </c>
      <c r="AC186">
        <v>126.5</v>
      </c>
      <c r="AD186">
        <v>134</v>
      </c>
    </row>
    <row r="187" spans="1:30" x14ac:dyDescent="0.35">
      <c r="A187" t="s">
        <v>33</v>
      </c>
      <c r="B187">
        <v>2018</v>
      </c>
      <c r="C187" t="s">
        <v>34</v>
      </c>
      <c r="D187">
        <v>135.9</v>
      </c>
      <c r="E187">
        <v>143.5</v>
      </c>
      <c r="F187">
        <v>140.30000000000001</v>
      </c>
      <c r="G187">
        <v>140.9</v>
      </c>
      <c r="H187">
        <v>142.9</v>
      </c>
      <c r="I187">
        <v>140.5</v>
      </c>
      <c r="J187">
        <v>125.8</v>
      </c>
      <c r="K187">
        <v>117.1</v>
      </c>
      <c r="L187">
        <v>137.30000000000001</v>
      </c>
      <c r="M187">
        <v>128.6</v>
      </c>
      <c r="N187">
        <v>149.6</v>
      </c>
      <c r="O187">
        <v>137.6</v>
      </c>
      <c r="P187">
        <v>120.4</v>
      </c>
      <c r="Q187">
        <v>143.80000000000001</v>
      </c>
      <c r="R187">
        <v>135.6</v>
      </c>
      <c r="S187">
        <v>142.6</v>
      </c>
      <c r="T187">
        <v>135.19999999999999</v>
      </c>
      <c r="U187">
        <v>141.30000000000001</v>
      </c>
      <c r="V187">
        <v>136.69999999999999</v>
      </c>
      <c r="W187">
        <v>120.2</v>
      </c>
      <c r="X187">
        <v>129.9</v>
      </c>
      <c r="Y187">
        <v>127.7</v>
      </c>
      <c r="Z187">
        <v>133.80000000000001</v>
      </c>
      <c r="AA187">
        <v>139</v>
      </c>
      <c r="AB187">
        <v>154.9</v>
      </c>
      <c r="AC187">
        <v>129.6</v>
      </c>
      <c r="AD187">
        <v>136.4</v>
      </c>
    </row>
    <row r="188" spans="1:30" x14ac:dyDescent="0.35">
      <c r="A188" t="s">
        <v>30</v>
      </c>
      <c r="B188">
        <v>2018</v>
      </c>
      <c r="C188" t="s">
        <v>35</v>
      </c>
      <c r="D188">
        <v>136.80000000000001</v>
      </c>
      <c r="E188">
        <v>143.80000000000001</v>
      </c>
      <c r="F188">
        <v>140</v>
      </c>
      <c r="G188">
        <v>142</v>
      </c>
      <c r="H188">
        <v>152.9</v>
      </c>
      <c r="I188">
        <v>138</v>
      </c>
      <c r="J188">
        <v>129.30000000000001</v>
      </c>
      <c r="K188">
        <v>117.1</v>
      </c>
      <c r="L188">
        <v>136.30000000000001</v>
      </c>
      <c r="M188">
        <v>131.19999999999999</v>
      </c>
      <c r="N188">
        <v>152.80000000000001</v>
      </c>
      <c r="O188">
        <v>138.6</v>
      </c>
      <c r="P188">
        <v>123.2</v>
      </c>
      <c r="Q188">
        <v>149.19999999999999</v>
      </c>
      <c r="R188">
        <v>143</v>
      </c>
      <c r="S188">
        <v>148.30000000000001</v>
      </c>
      <c r="T188">
        <v>139.9</v>
      </c>
      <c r="U188">
        <v>139.2551</v>
      </c>
      <c r="V188">
        <v>142.6</v>
      </c>
      <c r="W188">
        <v>124.6</v>
      </c>
      <c r="X188">
        <v>135.1</v>
      </c>
      <c r="Y188">
        <v>129.30000000000001</v>
      </c>
      <c r="Z188">
        <v>136.69999999999999</v>
      </c>
      <c r="AA188">
        <v>142.69999999999999</v>
      </c>
      <c r="AB188">
        <v>155.1</v>
      </c>
      <c r="AC188">
        <v>133.30000000000001</v>
      </c>
      <c r="AD188">
        <v>138.69999999999999</v>
      </c>
    </row>
    <row r="189" spans="1:30" x14ac:dyDescent="0.35">
      <c r="A189" t="s">
        <v>32</v>
      </c>
      <c r="B189">
        <v>2018</v>
      </c>
      <c r="C189" t="s">
        <v>35</v>
      </c>
      <c r="D189">
        <v>135</v>
      </c>
      <c r="E189">
        <v>143.1</v>
      </c>
      <c r="F189">
        <v>135.5</v>
      </c>
      <c r="G189">
        <v>139.9</v>
      </c>
      <c r="H189">
        <v>138.5</v>
      </c>
      <c r="I189">
        <v>128</v>
      </c>
      <c r="J189">
        <v>115.5</v>
      </c>
      <c r="K189">
        <v>114.2</v>
      </c>
      <c r="L189">
        <v>140.69999999999999</v>
      </c>
      <c r="M189">
        <v>126.2</v>
      </c>
      <c r="N189">
        <v>147.6</v>
      </c>
      <c r="O189">
        <v>134.80000000000001</v>
      </c>
      <c r="P189">
        <v>116.5</v>
      </c>
      <c r="Q189">
        <v>136.69999999999999</v>
      </c>
      <c r="R189">
        <v>126.7</v>
      </c>
      <c r="S189">
        <v>135.19999999999999</v>
      </c>
      <c r="T189">
        <v>130.80000000000001</v>
      </c>
      <c r="U189">
        <v>142</v>
      </c>
      <c r="V189">
        <v>126.4</v>
      </c>
      <c r="W189">
        <v>117.8</v>
      </c>
      <c r="X189">
        <v>126.8</v>
      </c>
      <c r="Y189">
        <v>126.7</v>
      </c>
      <c r="Z189">
        <v>130.5</v>
      </c>
      <c r="AA189">
        <v>137.80000000000001</v>
      </c>
      <c r="AB189">
        <v>159.69999999999999</v>
      </c>
      <c r="AC189">
        <v>127.1</v>
      </c>
      <c r="AD189">
        <v>134</v>
      </c>
    </row>
    <row r="190" spans="1:30" x14ac:dyDescent="0.35">
      <c r="A190" t="s">
        <v>33</v>
      </c>
      <c r="B190">
        <v>2018</v>
      </c>
      <c r="C190" t="s">
        <v>35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146.19999999999999</v>
      </c>
      <c r="I190">
        <v>134.6</v>
      </c>
      <c r="J190">
        <v>124.6</v>
      </c>
      <c r="K190">
        <v>116.1</v>
      </c>
      <c r="L190">
        <v>137.80000000000001</v>
      </c>
      <c r="M190">
        <v>129.1</v>
      </c>
      <c r="N190">
        <v>150.4</v>
      </c>
      <c r="O190">
        <v>137.19999999999999</v>
      </c>
      <c r="P190">
        <v>120.7</v>
      </c>
      <c r="Q190">
        <v>144.30000000000001</v>
      </c>
      <c r="R190">
        <v>136.19999999999999</v>
      </c>
      <c r="S190">
        <v>143.1</v>
      </c>
      <c r="T190">
        <v>135.6</v>
      </c>
      <c r="U190">
        <v>142</v>
      </c>
      <c r="V190">
        <v>136.5</v>
      </c>
      <c r="W190">
        <v>121</v>
      </c>
      <c r="X190">
        <v>130.4</v>
      </c>
      <c r="Y190">
        <v>128.19999999999999</v>
      </c>
      <c r="Z190">
        <v>134.30000000000001</v>
      </c>
      <c r="AA190">
        <v>139.80000000000001</v>
      </c>
      <c r="AB190">
        <v>156.30000000000001</v>
      </c>
      <c r="AC190">
        <v>130.30000000000001</v>
      </c>
      <c r="AD190">
        <v>136.5</v>
      </c>
    </row>
    <row r="191" spans="1:30" x14ac:dyDescent="0.35">
      <c r="A191" t="s">
        <v>30</v>
      </c>
      <c r="B191">
        <v>2018</v>
      </c>
      <c r="C191" t="s">
        <v>36</v>
      </c>
      <c r="D191">
        <v>137.1</v>
      </c>
      <c r="E191">
        <v>144.5</v>
      </c>
      <c r="F191">
        <v>135.9</v>
      </c>
      <c r="G191">
        <v>142.4</v>
      </c>
      <c r="H191">
        <v>156.4</v>
      </c>
      <c r="I191">
        <v>135.1</v>
      </c>
      <c r="J191">
        <v>128.4</v>
      </c>
      <c r="K191">
        <v>115.2</v>
      </c>
      <c r="L191">
        <v>137.19999999999999</v>
      </c>
      <c r="M191">
        <v>131.9</v>
      </c>
      <c r="N191">
        <v>153.80000000000001</v>
      </c>
      <c r="O191">
        <v>138.6</v>
      </c>
      <c r="P191">
        <v>123.5</v>
      </c>
      <c r="Q191">
        <v>150.1</v>
      </c>
      <c r="R191">
        <v>143.30000000000001</v>
      </c>
      <c r="S191">
        <v>149.1</v>
      </c>
      <c r="T191">
        <v>140.9</v>
      </c>
      <c r="U191">
        <v>139.2551</v>
      </c>
      <c r="V191">
        <v>143.80000000000001</v>
      </c>
      <c r="W191">
        <v>125.3</v>
      </c>
      <c r="X191">
        <v>136</v>
      </c>
      <c r="Y191">
        <v>130.4</v>
      </c>
      <c r="Z191">
        <v>137.6</v>
      </c>
      <c r="AA191">
        <v>143.69999999999999</v>
      </c>
      <c r="AB191">
        <v>156.1</v>
      </c>
      <c r="AC191">
        <v>134.19999999999999</v>
      </c>
      <c r="AD191">
        <v>139.1</v>
      </c>
    </row>
    <row r="192" spans="1:30" x14ac:dyDescent="0.35">
      <c r="A192" t="s">
        <v>32</v>
      </c>
      <c r="B192">
        <v>2018</v>
      </c>
      <c r="C192" t="s">
        <v>36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150.1</v>
      </c>
      <c r="I192">
        <v>127.6</v>
      </c>
      <c r="J192">
        <v>114</v>
      </c>
      <c r="K192">
        <v>110.6</v>
      </c>
      <c r="L192">
        <v>140.19999999999999</v>
      </c>
      <c r="M192">
        <v>126.5</v>
      </c>
      <c r="N192">
        <v>148.30000000000001</v>
      </c>
      <c r="O192">
        <v>135.69999999999999</v>
      </c>
      <c r="P192">
        <v>116.6</v>
      </c>
      <c r="Q192">
        <v>137.80000000000001</v>
      </c>
      <c r="R192">
        <v>127.4</v>
      </c>
      <c r="S192">
        <v>136.19999999999999</v>
      </c>
      <c r="T192">
        <v>131.80000000000001</v>
      </c>
      <c r="U192">
        <v>142.9</v>
      </c>
      <c r="V192">
        <v>124.6</v>
      </c>
      <c r="W192">
        <v>118.9</v>
      </c>
      <c r="X192">
        <v>127.6</v>
      </c>
      <c r="Y192">
        <v>127.6</v>
      </c>
      <c r="Z192">
        <v>131.30000000000001</v>
      </c>
      <c r="AA192">
        <v>139.69999999999999</v>
      </c>
      <c r="AB192">
        <v>159.19999999999999</v>
      </c>
      <c r="AC192">
        <v>128.19999999999999</v>
      </c>
      <c r="AD192">
        <v>134.80000000000001</v>
      </c>
    </row>
    <row r="193" spans="1:30" x14ac:dyDescent="0.35">
      <c r="A193" t="s">
        <v>33</v>
      </c>
      <c r="B193">
        <v>2018</v>
      </c>
      <c r="C193" t="s">
        <v>36</v>
      </c>
      <c r="D193">
        <v>136.4</v>
      </c>
      <c r="E193">
        <v>144.4</v>
      </c>
      <c r="F193">
        <v>133.9</v>
      </c>
      <c r="G193">
        <v>141.6</v>
      </c>
      <c r="H193">
        <v>153.5</v>
      </c>
      <c r="I193">
        <v>132.6</v>
      </c>
      <c r="J193">
        <v>123.5</v>
      </c>
      <c r="K193">
        <v>113.7</v>
      </c>
      <c r="L193">
        <v>138.19999999999999</v>
      </c>
      <c r="M193">
        <v>129.6</v>
      </c>
      <c r="N193">
        <v>151.19999999999999</v>
      </c>
      <c r="O193">
        <v>137.5</v>
      </c>
      <c r="P193">
        <v>121</v>
      </c>
      <c r="Q193">
        <v>145.30000000000001</v>
      </c>
      <c r="R193">
        <v>136.69999999999999</v>
      </c>
      <c r="S193">
        <v>144</v>
      </c>
      <c r="T193">
        <v>136.6</v>
      </c>
      <c r="U193">
        <v>142.9</v>
      </c>
      <c r="V193">
        <v>136.5</v>
      </c>
      <c r="W193">
        <v>121.9</v>
      </c>
      <c r="X193">
        <v>131.30000000000001</v>
      </c>
      <c r="Y193">
        <v>129.19999999999999</v>
      </c>
      <c r="Z193">
        <v>135.19999999999999</v>
      </c>
      <c r="AA193">
        <v>141.4</v>
      </c>
      <c r="AB193">
        <v>156.9</v>
      </c>
      <c r="AC193">
        <v>131.30000000000001</v>
      </c>
      <c r="AD193">
        <v>137.1</v>
      </c>
    </row>
    <row r="194" spans="1:30" x14ac:dyDescent="0.35">
      <c r="A194" t="s">
        <v>30</v>
      </c>
      <c r="B194">
        <v>2018</v>
      </c>
      <c r="C194" t="s">
        <v>37</v>
      </c>
      <c r="D194">
        <v>137.4</v>
      </c>
      <c r="E194">
        <v>145.69999999999999</v>
      </c>
      <c r="F194">
        <v>135.5</v>
      </c>
      <c r="G194">
        <v>142.9</v>
      </c>
      <c r="H194">
        <v>157.5</v>
      </c>
      <c r="I194">
        <v>137.80000000000001</v>
      </c>
      <c r="J194">
        <v>127.2</v>
      </c>
      <c r="K194">
        <v>111.8</v>
      </c>
      <c r="L194">
        <v>137.4</v>
      </c>
      <c r="M194">
        <v>132.19999999999999</v>
      </c>
      <c r="N194">
        <v>154.30000000000001</v>
      </c>
      <c r="O194">
        <v>139.1</v>
      </c>
      <c r="P194">
        <v>123.6</v>
      </c>
      <c r="Q194">
        <v>150.80000000000001</v>
      </c>
      <c r="R194">
        <v>144.1</v>
      </c>
      <c r="S194">
        <v>149.80000000000001</v>
      </c>
      <c r="T194">
        <v>141.80000000000001</v>
      </c>
      <c r="U194">
        <v>139.2551</v>
      </c>
      <c r="V194">
        <v>144.30000000000001</v>
      </c>
      <c r="W194">
        <v>126.4</v>
      </c>
      <c r="X194">
        <v>136.80000000000001</v>
      </c>
      <c r="Y194">
        <v>131.19999999999999</v>
      </c>
      <c r="Z194">
        <v>138.4</v>
      </c>
      <c r="AA194">
        <v>144.4</v>
      </c>
      <c r="AB194">
        <v>157</v>
      </c>
      <c r="AC194">
        <v>135.1</v>
      </c>
      <c r="AD194">
        <v>139.80000000000001</v>
      </c>
    </row>
    <row r="195" spans="1:30" x14ac:dyDescent="0.35">
      <c r="A195" t="s">
        <v>32</v>
      </c>
      <c r="B195">
        <v>2018</v>
      </c>
      <c r="C195" t="s">
        <v>37</v>
      </c>
      <c r="D195">
        <v>135</v>
      </c>
      <c r="E195">
        <v>148.19999999999999</v>
      </c>
      <c r="F195">
        <v>130.5</v>
      </c>
      <c r="G195">
        <v>140.69999999999999</v>
      </c>
      <c r="H195">
        <v>151.30000000000001</v>
      </c>
      <c r="I195">
        <v>131.4</v>
      </c>
      <c r="J195">
        <v>112.8</v>
      </c>
      <c r="K195">
        <v>105.3</v>
      </c>
      <c r="L195">
        <v>139.6</v>
      </c>
      <c r="M195">
        <v>126.6</v>
      </c>
      <c r="N195">
        <v>148.69999999999999</v>
      </c>
      <c r="O195">
        <v>136.4</v>
      </c>
      <c r="P195">
        <v>116.4</v>
      </c>
      <c r="Q195">
        <v>138.6</v>
      </c>
      <c r="R195">
        <v>127.9</v>
      </c>
      <c r="S195">
        <v>137</v>
      </c>
      <c r="T195">
        <v>132.5</v>
      </c>
      <c r="U195">
        <v>143.19999999999999</v>
      </c>
      <c r="V195">
        <v>124.7</v>
      </c>
      <c r="W195">
        <v>119.8</v>
      </c>
      <c r="X195">
        <v>128</v>
      </c>
      <c r="Y195">
        <v>128.1</v>
      </c>
      <c r="Z195">
        <v>132</v>
      </c>
      <c r="AA195">
        <v>140.4</v>
      </c>
      <c r="AB195">
        <v>160.30000000000001</v>
      </c>
      <c r="AC195">
        <v>128.9</v>
      </c>
      <c r="AD195">
        <v>135.4</v>
      </c>
    </row>
    <row r="196" spans="1:30" x14ac:dyDescent="0.35">
      <c r="A196" t="s">
        <v>33</v>
      </c>
      <c r="B196">
        <v>2018</v>
      </c>
      <c r="C196" t="s">
        <v>37</v>
      </c>
      <c r="D196">
        <v>136.6</v>
      </c>
      <c r="E196">
        <v>146.6</v>
      </c>
      <c r="F196">
        <v>133.6</v>
      </c>
      <c r="G196">
        <v>142.1</v>
      </c>
      <c r="H196">
        <v>154.6</v>
      </c>
      <c r="I196">
        <v>135.6</v>
      </c>
      <c r="J196">
        <v>122.3</v>
      </c>
      <c r="K196">
        <v>109.6</v>
      </c>
      <c r="L196">
        <v>138.1</v>
      </c>
      <c r="M196">
        <v>129.9</v>
      </c>
      <c r="N196">
        <v>151.69999999999999</v>
      </c>
      <c r="O196">
        <v>138.1</v>
      </c>
      <c r="P196">
        <v>121</v>
      </c>
      <c r="Q196">
        <v>146</v>
      </c>
      <c r="R196">
        <v>137.4</v>
      </c>
      <c r="S196">
        <v>144.69999999999999</v>
      </c>
      <c r="T196">
        <v>137.4</v>
      </c>
      <c r="U196">
        <v>143.19999999999999</v>
      </c>
      <c r="V196">
        <v>136.9</v>
      </c>
      <c r="W196">
        <v>122.9</v>
      </c>
      <c r="X196">
        <v>131.80000000000001</v>
      </c>
      <c r="Y196">
        <v>129.9</v>
      </c>
      <c r="Z196">
        <v>136</v>
      </c>
      <c r="AA196">
        <v>142.1</v>
      </c>
      <c r="AB196">
        <v>157.9</v>
      </c>
      <c r="AC196">
        <v>132.1</v>
      </c>
      <c r="AD196">
        <v>137.80000000000001</v>
      </c>
    </row>
    <row r="197" spans="1:30" x14ac:dyDescent="0.35">
      <c r="A197" t="s">
        <v>30</v>
      </c>
      <c r="B197">
        <v>2018</v>
      </c>
      <c r="C197" t="s">
        <v>38</v>
      </c>
      <c r="D197">
        <v>137.6</v>
      </c>
      <c r="E197">
        <v>148.1</v>
      </c>
      <c r="F197">
        <v>136.69999999999999</v>
      </c>
      <c r="G197">
        <v>143.19999999999999</v>
      </c>
      <c r="H197">
        <v>154.1</v>
      </c>
      <c r="I197">
        <v>143.5</v>
      </c>
      <c r="J197">
        <v>126</v>
      </c>
      <c r="K197">
        <v>112.4</v>
      </c>
      <c r="L197">
        <v>137.6</v>
      </c>
      <c r="M197">
        <v>132.80000000000001</v>
      </c>
      <c r="N197">
        <v>154.30000000000001</v>
      </c>
      <c r="O197">
        <v>140</v>
      </c>
      <c r="P197">
        <v>124</v>
      </c>
      <c r="Q197">
        <v>151.30000000000001</v>
      </c>
      <c r="R197">
        <v>144.69999999999999</v>
      </c>
      <c r="S197">
        <v>150.30000000000001</v>
      </c>
      <c r="T197">
        <v>142.19999999999999</v>
      </c>
      <c r="U197">
        <v>139.2551</v>
      </c>
      <c r="V197">
        <v>145.1</v>
      </c>
      <c r="W197">
        <v>127.4</v>
      </c>
      <c r="X197">
        <v>137.80000000000001</v>
      </c>
      <c r="Y197">
        <v>131.4</v>
      </c>
      <c r="Z197">
        <v>138.4</v>
      </c>
      <c r="AA197">
        <v>145.1</v>
      </c>
      <c r="AB197">
        <v>157.30000000000001</v>
      </c>
      <c r="AC197">
        <v>135.6</v>
      </c>
      <c r="AD197">
        <v>140.5</v>
      </c>
    </row>
    <row r="198" spans="1:30" x14ac:dyDescent="0.35">
      <c r="A198" t="s">
        <v>32</v>
      </c>
      <c r="B198">
        <v>2018</v>
      </c>
      <c r="C198" t="s">
        <v>38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152.19999999999999</v>
      </c>
      <c r="I198">
        <v>144</v>
      </c>
      <c r="J198">
        <v>112.3</v>
      </c>
      <c r="K198">
        <v>108.4</v>
      </c>
      <c r="L198">
        <v>140</v>
      </c>
      <c r="M198">
        <v>126.7</v>
      </c>
      <c r="N198">
        <v>149</v>
      </c>
      <c r="O198">
        <v>138.4</v>
      </c>
      <c r="P198">
        <v>116.6</v>
      </c>
      <c r="Q198">
        <v>138.9</v>
      </c>
      <c r="R198">
        <v>128.69999999999999</v>
      </c>
      <c r="S198">
        <v>137.4</v>
      </c>
      <c r="T198">
        <v>133.1</v>
      </c>
      <c r="U198">
        <v>142.5</v>
      </c>
      <c r="V198">
        <v>126.5</v>
      </c>
      <c r="W198">
        <v>120.4</v>
      </c>
      <c r="X198">
        <v>128.5</v>
      </c>
      <c r="Y198">
        <v>128.19999999999999</v>
      </c>
      <c r="Z198">
        <v>132.6</v>
      </c>
      <c r="AA198">
        <v>141.19999999999999</v>
      </c>
      <c r="AB198">
        <v>161</v>
      </c>
      <c r="AC198">
        <v>129.5</v>
      </c>
      <c r="AD198">
        <v>136.19999999999999</v>
      </c>
    </row>
    <row r="199" spans="1:30" x14ac:dyDescent="0.35">
      <c r="A199" t="s">
        <v>33</v>
      </c>
      <c r="B199">
        <v>2018</v>
      </c>
      <c r="C199" t="s">
        <v>38</v>
      </c>
      <c r="D199">
        <v>136.9</v>
      </c>
      <c r="E199">
        <v>148.69999999999999</v>
      </c>
      <c r="F199">
        <v>135.6</v>
      </c>
      <c r="G199">
        <v>142.30000000000001</v>
      </c>
      <c r="H199">
        <v>153.19999999999999</v>
      </c>
      <c r="I199">
        <v>143.69999999999999</v>
      </c>
      <c r="J199">
        <v>121.4</v>
      </c>
      <c r="K199">
        <v>111.1</v>
      </c>
      <c r="L199">
        <v>138.4</v>
      </c>
      <c r="M199">
        <v>130.30000000000001</v>
      </c>
      <c r="N199">
        <v>151.80000000000001</v>
      </c>
      <c r="O199">
        <v>139.4</v>
      </c>
      <c r="P199">
        <v>121.3</v>
      </c>
      <c r="Q199">
        <v>146.4</v>
      </c>
      <c r="R199">
        <v>138.1</v>
      </c>
      <c r="S199">
        <v>145.19999999999999</v>
      </c>
      <c r="T199">
        <v>137.9</v>
      </c>
      <c r="U199">
        <v>142.5</v>
      </c>
      <c r="V199">
        <v>138.1</v>
      </c>
      <c r="W199">
        <v>123.7</v>
      </c>
      <c r="X199">
        <v>132.6</v>
      </c>
      <c r="Y199">
        <v>130.1</v>
      </c>
      <c r="Z199">
        <v>136.19999999999999</v>
      </c>
      <c r="AA199">
        <v>142.80000000000001</v>
      </c>
      <c r="AB199">
        <v>158.30000000000001</v>
      </c>
      <c r="AC199">
        <v>132.6</v>
      </c>
      <c r="AD199">
        <v>138.5</v>
      </c>
    </row>
    <row r="200" spans="1:30" x14ac:dyDescent="0.35">
      <c r="A200" t="s">
        <v>30</v>
      </c>
      <c r="B200">
        <v>2018</v>
      </c>
      <c r="C200" t="s">
        <v>39</v>
      </c>
      <c r="D200">
        <v>138.4</v>
      </c>
      <c r="E200">
        <v>149.30000000000001</v>
      </c>
      <c r="F200">
        <v>139.30000000000001</v>
      </c>
      <c r="G200">
        <v>143.4</v>
      </c>
      <c r="H200">
        <v>153.30000000000001</v>
      </c>
      <c r="I200">
        <v>154.19999999999999</v>
      </c>
      <c r="J200">
        <v>126.4</v>
      </c>
      <c r="K200">
        <v>114.3</v>
      </c>
      <c r="L200">
        <v>138.19999999999999</v>
      </c>
      <c r="M200">
        <v>132.80000000000001</v>
      </c>
      <c r="N200">
        <v>154.80000000000001</v>
      </c>
      <c r="O200">
        <v>142</v>
      </c>
      <c r="P200">
        <v>124.1</v>
      </c>
      <c r="Q200">
        <v>151.5</v>
      </c>
      <c r="R200">
        <v>145.1</v>
      </c>
      <c r="S200">
        <v>150.6</v>
      </c>
      <c r="T200">
        <v>143.1</v>
      </c>
      <c r="U200">
        <v>139.2551</v>
      </c>
      <c r="V200">
        <v>146.80000000000001</v>
      </c>
      <c r="W200">
        <v>127.5</v>
      </c>
      <c r="X200">
        <v>138.4</v>
      </c>
      <c r="Y200">
        <v>131.4</v>
      </c>
      <c r="Z200">
        <v>139</v>
      </c>
      <c r="AA200">
        <v>145.80000000000001</v>
      </c>
      <c r="AB200">
        <v>156.1</v>
      </c>
      <c r="AC200">
        <v>136</v>
      </c>
      <c r="AD200">
        <v>141.80000000000001</v>
      </c>
    </row>
    <row r="201" spans="1:30" x14ac:dyDescent="0.35">
      <c r="A201" t="s">
        <v>32</v>
      </c>
      <c r="B201">
        <v>2018</v>
      </c>
      <c r="C201" t="s">
        <v>39</v>
      </c>
      <c r="D201">
        <v>135.6</v>
      </c>
      <c r="E201">
        <v>148.6</v>
      </c>
      <c r="F201">
        <v>139.1</v>
      </c>
      <c r="G201">
        <v>141</v>
      </c>
      <c r="H201">
        <v>149.69999999999999</v>
      </c>
      <c r="I201">
        <v>159.19999999999999</v>
      </c>
      <c r="J201">
        <v>112.6</v>
      </c>
      <c r="K201">
        <v>111.8</v>
      </c>
      <c r="L201">
        <v>140.30000000000001</v>
      </c>
      <c r="M201">
        <v>126.8</v>
      </c>
      <c r="N201">
        <v>149.4</v>
      </c>
      <c r="O201">
        <v>140.30000000000001</v>
      </c>
      <c r="P201">
        <v>116.7</v>
      </c>
      <c r="Q201">
        <v>139.6</v>
      </c>
      <c r="R201">
        <v>128.9</v>
      </c>
      <c r="S201">
        <v>137.9</v>
      </c>
      <c r="T201">
        <v>133.6</v>
      </c>
      <c r="U201">
        <v>143.6</v>
      </c>
      <c r="V201">
        <v>128.1</v>
      </c>
      <c r="W201">
        <v>120.1</v>
      </c>
      <c r="X201">
        <v>129</v>
      </c>
      <c r="Y201">
        <v>128.19999999999999</v>
      </c>
      <c r="Z201">
        <v>133.6</v>
      </c>
      <c r="AA201">
        <v>144</v>
      </c>
      <c r="AB201">
        <v>161.4</v>
      </c>
      <c r="AC201">
        <v>130.19999999999999</v>
      </c>
      <c r="AD201">
        <v>137.5</v>
      </c>
    </row>
    <row r="202" spans="1:30" x14ac:dyDescent="0.35">
      <c r="A202" t="s">
        <v>33</v>
      </c>
      <c r="B202">
        <v>2018</v>
      </c>
      <c r="C202" t="s">
        <v>39</v>
      </c>
      <c r="D202">
        <v>137.5</v>
      </c>
      <c r="E202">
        <v>149.1</v>
      </c>
      <c r="F202">
        <v>139.19999999999999</v>
      </c>
      <c r="G202">
        <v>142.5</v>
      </c>
      <c r="H202">
        <v>151.6</v>
      </c>
      <c r="I202">
        <v>155.9</v>
      </c>
      <c r="J202">
        <v>121.7</v>
      </c>
      <c r="K202">
        <v>113.5</v>
      </c>
      <c r="L202">
        <v>138.9</v>
      </c>
      <c r="M202">
        <v>130.30000000000001</v>
      </c>
      <c r="N202">
        <v>152.30000000000001</v>
      </c>
      <c r="O202">
        <v>141.4</v>
      </c>
      <c r="P202">
        <v>121.4</v>
      </c>
      <c r="Q202">
        <v>146.80000000000001</v>
      </c>
      <c r="R202">
        <v>138.4</v>
      </c>
      <c r="S202">
        <v>145.6</v>
      </c>
      <c r="T202">
        <v>138.6</v>
      </c>
      <c r="U202">
        <v>143.6</v>
      </c>
      <c r="V202">
        <v>139.69999999999999</v>
      </c>
      <c r="W202">
        <v>123.6</v>
      </c>
      <c r="X202">
        <v>133.1</v>
      </c>
      <c r="Y202">
        <v>130.1</v>
      </c>
      <c r="Z202">
        <v>137</v>
      </c>
      <c r="AA202">
        <v>144.69999999999999</v>
      </c>
      <c r="AB202">
        <v>157.5</v>
      </c>
      <c r="AC202">
        <v>133.19999999999999</v>
      </c>
      <c r="AD202">
        <v>139.80000000000001</v>
      </c>
    </row>
    <row r="203" spans="1:30" x14ac:dyDescent="0.35">
      <c r="A203" t="s">
        <v>30</v>
      </c>
      <c r="B203">
        <v>2018</v>
      </c>
      <c r="C203" t="s">
        <v>40</v>
      </c>
      <c r="D203">
        <v>139.19999999999999</v>
      </c>
      <c r="E203">
        <v>148.80000000000001</v>
      </c>
      <c r="F203">
        <v>139.1</v>
      </c>
      <c r="G203">
        <v>143.5</v>
      </c>
      <c r="H203">
        <v>154.4</v>
      </c>
      <c r="I203">
        <v>156.30000000000001</v>
      </c>
      <c r="J203">
        <v>126.8</v>
      </c>
      <c r="K203">
        <v>115.4</v>
      </c>
      <c r="L203">
        <v>138.6</v>
      </c>
      <c r="M203">
        <v>133.80000000000001</v>
      </c>
      <c r="N203">
        <v>155.19999999999999</v>
      </c>
      <c r="O203">
        <v>142.69999999999999</v>
      </c>
      <c r="P203">
        <v>125</v>
      </c>
      <c r="Q203">
        <v>152.1</v>
      </c>
      <c r="R203">
        <v>145.80000000000001</v>
      </c>
      <c r="S203">
        <v>151.30000000000001</v>
      </c>
      <c r="T203">
        <v>143.80000000000001</v>
      </c>
      <c r="U203">
        <v>139.2551</v>
      </c>
      <c r="V203">
        <v>147.69999999999999</v>
      </c>
      <c r="W203">
        <v>128.30000000000001</v>
      </c>
      <c r="X203">
        <v>138.6</v>
      </c>
      <c r="Y203">
        <v>131.30000000000001</v>
      </c>
      <c r="Z203">
        <v>139.4</v>
      </c>
      <c r="AA203">
        <v>146.9</v>
      </c>
      <c r="AB203">
        <v>156.4</v>
      </c>
      <c r="AC203">
        <v>136.6</v>
      </c>
      <c r="AD203">
        <v>142.5</v>
      </c>
    </row>
    <row r="204" spans="1:30" x14ac:dyDescent="0.35">
      <c r="A204" t="s">
        <v>32</v>
      </c>
      <c r="B204">
        <v>2018</v>
      </c>
      <c r="C204" t="s">
        <v>40</v>
      </c>
      <c r="D204">
        <v>136.5</v>
      </c>
      <c r="E204">
        <v>146.4</v>
      </c>
      <c r="F204">
        <v>136.6</v>
      </c>
      <c r="G204">
        <v>141.19999999999999</v>
      </c>
      <c r="H204">
        <v>146.30000000000001</v>
      </c>
      <c r="I204">
        <v>157.30000000000001</v>
      </c>
      <c r="J204">
        <v>113.6</v>
      </c>
      <c r="K204">
        <v>113.3</v>
      </c>
      <c r="L204">
        <v>141.1</v>
      </c>
      <c r="M204">
        <v>127.4</v>
      </c>
      <c r="N204">
        <v>150.4</v>
      </c>
      <c r="O204">
        <v>140.1</v>
      </c>
      <c r="P204">
        <v>117.4</v>
      </c>
      <c r="Q204">
        <v>140</v>
      </c>
      <c r="R204">
        <v>129</v>
      </c>
      <c r="S204">
        <v>138.30000000000001</v>
      </c>
      <c r="T204">
        <v>134.4</v>
      </c>
      <c r="U204">
        <v>144.6</v>
      </c>
      <c r="V204">
        <v>129.80000000000001</v>
      </c>
      <c r="W204">
        <v>120.7</v>
      </c>
      <c r="X204">
        <v>129.80000000000001</v>
      </c>
      <c r="Y204">
        <v>128.30000000000001</v>
      </c>
      <c r="Z204">
        <v>134.9</v>
      </c>
      <c r="AA204">
        <v>145.30000000000001</v>
      </c>
      <c r="AB204">
        <v>162.1</v>
      </c>
      <c r="AC204">
        <v>131</v>
      </c>
      <c r="AD204">
        <v>138</v>
      </c>
    </row>
    <row r="205" spans="1:30" x14ac:dyDescent="0.35">
      <c r="A205" t="s">
        <v>33</v>
      </c>
      <c r="B205">
        <v>2018</v>
      </c>
      <c r="C205" t="s">
        <v>40</v>
      </c>
      <c r="D205">
        <v>138.30000000000001</v>
      </c>
      <c r="E205">
        <v>148</v>
      </c>
      <c r="F205">
        <v>138.1</v>
      </c>
      <c r="G205">
        <v>142.6</v>
      </c>
      <c r="H205">
        <v>150.6</v>
      </c>
      <c r="I205">
        <v>156.6</v>
      </c>
      <c r="J205">
        <v>122.4</v>
      </c>
      <c r="K205">
        <v>114.7</v>
      </c>
      <c r="L205">
        <v>139.4</v>
      </c>
      <c r="M205">
        <v>131.1</v>
      </c>
      <c r="N205">
        <v>153</v>
      </c>
      <c r="O205">
        <v>141.69999999999999</v>
      </c>
      <c r="P205">
        <v>122.2</v>
      </c>
      <c r="Q205">
        <v>147.30000000000001</v>
      </c>
      <c r="R205">
        <v>138.80000000000001</v>
      </c>
      <c r="S205">
        <v>146.1</v>
      </c>
      <c r="T205">
        <v>139.4</v>
      </c>
      <c r="U205">
        <v>144.6</v>
      </c>
      <c r="V205">
        <v>140.9</v>
      </c>
      <c r="W205">
        <v>124.3</v>
      </c>
      <c r="X205">
        <v>133.6</v>
      </c>
      <c r="Y205">
        <v>130.1</v>
      </c>
      <c r="Z205">
        <v>137.69999999999999</v>
      </c>
      <c r="AA205">
        <v>146</v>
      </c>
      <c r="AB205">
        <v>157.9</v>
      </c>
      <c r="AC205">
        <v>133.9</v>
      </c>
      <c r="AD205">
        <v>140.4</v>
      </c>
    </row>
    <row r="206" spans="1:30" x14ac:dyDescent="0.35">
      <c r="A206" t="s">
        <v>30</v>
      </c>
      <c r="B206">
        <v>2018</v>
      </c>
      <c r="C206" t="s">
        <v>41</v>
      </c>
      <c r="D206">
        <v>139.4</v>
      </c>
      <c r="E206">
        <v>147.19999999999999</v>
      </c>
      <c r="F206">
        <v>136.6</v>
      </c>
      <c r="G206">
        <v>143.69999999999999</v>
      </c>
      <c r="H206">
        <v>150.1</v>
      </c>
      <c r="I206">
        <v>149.4</v>
      </c>
      <c r="J206">
        <v>125.4</v>
      </c>
      <c r="K206">
        <v>114.4</v>
      </c>
      <c r="L206">
        <v>138.69999999999999</v>
      </c>
      <c r="M206">
        <v>133.1</v>
      </c>
      <c r="N206">
        <v>155.9</v>
      </c>
      <c r="O206">
        <v>141.30000000000001</v>
      </c>
      <c r="P206">
        <v>124.6</v>
      </c>
      <c r="Q206">
        <v>152.1</v>
      </c>
      <c r="R206">
        <v>146.1</v>
      </c>
      <c r="S206">
        <v>151.30000000000001</v>
      </c>
      <c r="T206">
        <v>144</v>
      </c>
      <c r="U206">
        <v>139.2551</v>
      </c>
      <c r="V206">
        <v>149</v>
      </c>
      <c r="W206">
        <v>129.9</v>
      </c>
      <c r="X206">
        <v>140</v>
      </c>
      <c r="Y206">
        <v>132</v>
      </c>
      <c r="Z206">
        <v>140</v>
      </c>
      <c r="AA206">
        <v>147.6</v>
      </c>
      <c r="AB206">
        <v>157.69999999999999</v>
      </c>
      <c r="AC206">
        <v>137.4</v>
      </c>
      <c r="AD206">
        <v>142.1</v>
      </c>
    </row>
    <row r="207" spans="1:30" x14ac:dyDescent="0.35">
      <c r="A207" t="s">
        <v>32</v>
      </c>
      <c r="B207">
        <v>2018</v>
      </c>
      <c r="C207" t="s">
        <v>41</v>
      </c>
      <c r="D207">
        <v>137</v>
      </c>
      <c r="E207">
        <v>143.1</v>
      </c>
      <c r="F207">
        <v>132.80000000000001</v>
      </c>
      <c r="G207">
        <v>141.5</v>
      </c>
      <c r="H207">
        <v>140</v>
      </c>
      <c r="I207">
        <v>151.30000000000001</v>
      </c>
      <c r="J207">
        <v>113.5</v>
      </c>
      <c r="K207">
        <v>112.3</v>
      </c>
      <c r="L207">
        <v>141.19999999999999</v>
      </c>
      <c r="M207">
        <v>127.7</v>
      </c>
      <c r="N207">
        <v>151.30000000000001</v>
      </c>
      <c r="O207">
        <v>138.9</v>
      </c>
      <c r="P207">
        <v>117.8</v>
      </c>
      <c r="Q207">
        <v>140.80000000000001</v>
      </c>
      <c r="R207">
        <v>129.30000000000001</v>
      </c>
      <c r="S207">
        <v>139.1</v>
      </c>
      <c r="T207">
        <v>134.9</v>
      </c>
      <c r="U207">
        <v>145.30000000000001</v>
      </c>
      <c r="V207">
        <v>131.19999999999999</v>
      </c>
      <c r="W207">
        <v>122.5</v>
      </c>
      <c r="X207">
        <v>130.19999999999999</v>
      </c>
      <c r="Y207">
        <v>129.30000000000001</v>
      </c>
      <c r="Z207">
        <v>135.69999999999999</v>
      </c>
      <c r="AA207">
        <v>145.19999999999999</v>
      </c>
      <c r="AB207">
        <v>163.30000000000001</v>
      </c>
      <c r="AC207">
        <v>131.9</v>
      </c>
      <c r="AD207">
        <v>138.1</v>
      </c>
    </row>
    <row r="208" spans="1:30" x14ac:dyDescent="0.35">
      <c r="A208" t="s">
        <v>33</v>
      </c>
      <c r="B208">
        <v>2018</v>
      </c>
      <c r="C208" t="s">
        <v>41</v>
      </c>
      <c r="D208">
        <v>138.6</v>
      </c>
      <c r="E208">
        <v>145.80000000000001</v>
      </c>
      <c r="F208">
        <v>135.1</v>
      </c>
      <c r="G208">
        <v>142.9</v>
      </c>
      <c r="H208">
        <v>145.4</v>
      </c>
      <c r="I208">
        <v>150</v>
      </c>
      <c r="J208">
        <v>121.4</v>
      </c>
      <c r="K208">
        <v>113.7</v>
      </c>
      <c r="L208">
        <v>139.5</v>
      </c>
      <c r="M208">
        <v>130.80000000000001</v>
      </c>
      <c r="N208">
        <v>153.80000000000001</v>
      </c>
      <c r="O208">
        <v>140.4</v>
      </c>
      <c r="P208">
        <v>122.1</v>
      </c>
      <c r="Q208">
        <v>147.69999999999999</v>
      </c>
      <c r="R208">
        <v>139.1</v>
      </c>
      <c r="S208">
        <v>146.5</v>
      </c>
      <c r="T208">
        <v>139.69999999999999</v>
      </c>
      <c r="U208">
        <v>145.30000000000001</v>
      </c>
      <c r="V208">
        <v>142.30000000000001</v>
      </c>
      <c r="W208">
        <v>126</v>
      </c>
      <c r="X208">
        <v>134.5</v>
      </c>
      <c r="Y208">
        <v>130.9</v>
      </c>
      <c r="Z208">
        <v>138.4</v>
      </c>
      <c r="AA208">
        <v>146.19999999999999</v>
      </c>
      <c r="AB208">
        <v>159.19999999999999</v>
      </c>
      <c r="AC208">
        <v>134.69999999999999</v>
      </c>
      <c r="AD208">
        <v>140.19999999999999</v>
      </c>
    </row>
    <row r="209" spans="1:30" x14ac:dyDescent="0.35">
      <c r="A209" t="s">
        <v>30</v>
      </c>
      <c r="B209">
        <v>2018</v>
      </c>
      <c r="C209" t="s">
        <v>42</v>
      </c>
      <c r="D209">
        <v>139.30000000000001</v>
      </c>
      <c r="E209">
        <v>147.6</v>
      </c>
      <c r="F209">
        <v>134.6</v>
      </c>
      <c r="G209">
        <v>141.9</v>
      </c>
      <c r="H209">
        <v>144.5</v>
      </c>
      <c r="I209">
        <v>147.6</v>
      </c>
      <c r="J209">
        <v>121.4</v>
      </c>
      <c r="K209">
        <v>112.3</v>
      </c>
      <c r="L209">
        <v>139.5</v>
      </c>
      <c r="M209">
        <v>134.6</v>
      </c>
      <c r="N209">
        <v>155.19999999999999</v>
      </c>
      <c r="O209">
        <v>140.19999999999999</v>
      </c>
      <c r="P209">
        <v>123.5</v>
      </c>
      <c r="Q209">
        <v>150.69999999999999</v>
      </c>
      <c r="R209">
        <v>144.5</v>
      </c>
      <c r="S209">
        <v>149.80000000000001</v>
      </c>
      <c r="T209">
        <v>147.5</v>
      </c>
      <c r="U209">
        <v>139.2551</v>
      </c>
      <c r="V209">
        <v>149.69999999999999</v>
      </c>
      <c r="W209">
        <v>130.80000000000001</v>
      </c>
      <c r="X209">
        <v>140.1</v>
      </c>
      <c r="Y209">
        <v>134.4</v>
      </c>
      <c r="Z209">
        <v>144.80000000000001</v>
      </c>
      <c r="AA209">
        <v>148</v>
      </c>
      <c r="AB209">
        <v>159.6</v>
      </c>
      <c r="AC209">
        <v>139.80000000000001</v>
      </c>
      <c r="AD209">
        <v>142.19999999999999</v>
      </c>
    </row>
    <row r="210" spans="1:30" x14ac:dyDescent="0.35">
      <c r="A210" t="s">
        <v>32</v>
      </c>
      <c r="B210">
        <v>2018</v>
      </c>
      <c r="C210" t="s">
        <v>42</v>
      </c>
      <c r="D210">
        <v>137.6</v>
      </c>
      <c r="E210">
        <v>144.9</v>
      </c>
      <c r="F210">
        <v>133.5</v>
      </c>
      <c r="G210">
        <v>141.5</v>
      </c>
      <c r="H210">
        <v>139.5</v>
      </c>
      <c r="I210">
        <v>153</v>
      </c>
      <c r="J210">
        <v>113.2</v>
      </c>
      <c r="K210">
        <v>112.8</v>
      </c>
      <c r="L210">
        <v>141.1</v>
      </c>
      <c r="M210">
        <v>127.6</v>
      </c>
      <c r="N210">
        <v>152</v>
      </c>
      <c r="O210">
        <v>139.4</v>
      </c>
      <c r="P210">
        <v>118</v>
      </c>
      <c r="Q210">
        <v>141.5</v>
      </c>
      <c r="R210">
        <v>129.80000000000001</v>
      </c>
      <c r="S210">
        <v>139.69999999999999</v>
      </c>
      <c r="T210">
        <v>135.1</v>
      </c>
      <c r="U210">
        <v>146.30000000000001</v>
      </c>
      <c r="V210">
        <v>133.4</v>
      </c>
      <c r="W210">
        <v>123.3</v>
      </c>
      <c r="X210">
        <v>130.69999999999999</v>
      </c>
      <c r="Y210">
        <v>130.4</v>
      </c>
      <c r="Z210">
        <v>136.19999999999999</v>
      </c>
      <c r="AA210">
        <v>145.5</v>
      </c>
      <c r="AB210">
        <v>164</v>
      </c>
      <c r="AC210">
        <v>132.5</v>
      </c>
      <c r="AD210">
        <v>138.9</v>
      </c>
    </row>
    <row r="211" spans="1:30" x14ac:dyDescent="0.35">
      <c r="A211" t="s">
        <v>33</v>
      </c>
      <c r="B211">
        <v>2018</v>
      </c>
      <c r="C211" t="s">
        <v>42</v>
      </c>
      <c r="D211">
        <v>137.4</v>
      </c>
      <c r="E211">
        <v>149.5</v>
      </c>
      <c r="F211">
        <v>137.30000000000001</v>
      </c>
      <c r="G211">
        <v>141.9</v>
      </c>
      <c r="H211">
        <v>142.5</v>
      </c>
      <c r="I211">
        <v>146.69999999999999</v>
      </c>
      <c r="J211">
        <v>119.1</v>
      </c>
      <c r="K211">
        <v>111.9</v>
      </c>
      <c r="L211">
        <v>141</v>
      </c>
      <c r="M211">
        <v>133.6</v>
      </c>
      <c r="N211">
        <v>154.5</v>
      </c>
      <c r="O211">
        <v>139.69999999999999</v>
      </c>
      <c r="P211">
        <v>121.1</v>
      </c>
      <c r="Q211">
        <v>148</v>
      </c>
      <c r="R211">
        <v>139.19999999999999</v>
      </c>
      <c r="S211">
        <v>146.80000000000001</v>
      </c>
      <c r="T211">
        <v>142.19999999999999</v>
      </c>
      <c r="U211">
        <v>146.9</v>
      </c>
      <c r="V211">
        <v>145.30000000000001</v>
      </c>
      <c r="W211">
        <v>125.5</v>
      </c>
      <c r="X211">
        <v>136.5</v>
      </c>
      <c r="Y211">
        <v>132</v>
      </c>
      <c r="Z211">
        <v>142.1</v>
      </c>
      <c r="AA211">
        <v>147.80000000000001</v>
      </c>
      <c r="AB211">
        <v>162.6</v>
      </c>
      <c r="AC211">
        <v>136.30000000000001</v>
      </c>
      <c r="AD211">
        <v>140.80000000000001</v>
      </c>
    </row>
    <row r="212" spans="1:30" x14ac:dyDescent="0.35">
      <c r="A212" t="s">
        <v>30</v>
      </c>
      <c r="B212">
        <v>2018</v>
      </c>
      <c r="C212" t="s">
        <v>44</v>
      </c>
      <c r="D212">
        <v>137.1</v>
      </c>
      <c r="E212">
        <v>150.80000000000001</v>
      </c>
      <c r="F212">
        <v>136.69999999999999</v>
      </c>
      <c r="G212">
        <v>141.9</v>
      </c>
      <c r="H212">
        <v>143.9</v>
      </c>
      <c r="I212">
        <v>147.5</v>
      </c>
      <c r="J212">
        <v>121</v>
      </c>
      <c r="K212">
        <v>111.6</v>
      </c>
      <c r="L212">
        <v>140.6</v>
      </c>
      <c r="M212">
        <v>137.5</v>
      </c>
      <c r="N212">
        <v>156.1</v>
      </c>
      <c r="O212">
        <v>140</v>
      </c>
      <c r="P212">
        <v>122.8</v>
      </c>
      <c r="Q212">
        <v>151.69999999999999</v>
      </c>
      <c r="R212">
        <v>145.5</v>
      </c>
      <c r="S212">
        <v>150.80000000000001</v>
      </c>
      <c r="T212">
        <v>148</v>
      </c>
      <c r="U212">
        <v>139.2551</v>
      </c>
      <c r="V212">
        <v>150.30000000000001</v>
      </c>
      <c r="W212">
        <v>130.30000000000001</v>
      </c>
      <c r="X212">
        <v>143.1</v>
      </c>
      <c r="Y212">
        <v>133.1</v>
      </c>
      <c r="Z212">
        <v>145.4</v>
      </c>
      <c r="AA212">
        <v>150.19999999999999</v>
      </c>
      <c r="AB212">
        <v>161.9</v>
      </c>
      <c r="AC212">
        <v>140.1</v>
      </c>
      <c r="AD212">
        <v>142.4</v>
      </c>
    </row>
    <row r="213" spans="1:30" x14ac:dyDescent="0.35">
      <c r="A213" t="s">
        <v>32</v>
      </c>
      <c r="B213">
        <v>2018</v>
      </c>
      <c r="C213" t="s">
        <v>44</v>
      </c>
      <c r="D213">
        <v>138.1</v>
      </c>
      <c r="E213">
        <v>146.30000000000001</v>
      </c>
      <c r="F213">
        <v>137.80000000000001</v>
      </c>
      <c r="G213">
        <v>141.6</v>
      </c>
      <c r="H213">
        <v>141.5</v>
      </c>
      <c r="I213">
        <v>145.19999999999999</v>
      </c>
      <c r="J213">
        <v>115.3</v>
      </c>
      <c r="K213">
        <v>112.5</v>
      </c>
      <c r="L213">
        <v>141.4</v>
      </c>
      <c r="M213">
        <v>128</v>
      </c>
      <c r="N213">
        <v>152.6</v>
      </c>
      <c r="O213">
        <v>139.1</v>
      </c>
      <c r="P213">
        <v>118.1</v>
      </c>
      <c r="Q213">
        <v>142.4</v>
      </c>
      <c r="R213">
        <v>130.19999999999999</v>
      </c>
      <c r="S213">
        <v>140.5</v>
      </c>
      <c r="T213">
        <v>135.80000000000001</v>
      </c>
      <c r="U213">
        <v>146.9</v>
      </c>
      <c r="V213">
        <v>136.69999999999999</v>
      </c>
      <c r="W213">
        <v>121.2</v>
      </c>
      <c r="X213">
        <v>131.30000000000001</v>
      </c>
      <c r="Y213">
        <v>130.5</v>
      </c>
      <c r="Z213">
        <v>136.80000000000001</v>
      </c>
      <c r="AA213">
        <v>146.1</v>
      </c>
      <c r="AB213">
        <v>164.4</v>
      </c>
      <c r="AC213">
        <v>132.19999999999999</v>
      </c>
      <c r="AD213">
        <v>139</v>
      </c>
    </row>
    <row r="214" spans="1:30" x14ac:dyDescent="0.35">
      <c r="A214" t="s">
        <v>33</v>
      </c>
      <c r="B214">
        <v>2018</v>
      </c>
      <c r="C214" t="s">
        <v>44</v>
      </c>
      <c r="D214">
        <v>137.4</v>
      </c>
      <c r="E214">
        <v>149.19999999999999</v>
      </c>
      <c r="F214">
        <v>137.1</v>
      </c>
      <c r="G214">
        <v>141.80000000000001</v>
      </c>
      <c r="H214">
        <v>142.80000000000001</v>
      </c>
      <c r="I214">
        <v>146.69999999999999</v>
      </c>
      <c r="J214">
        <v>119.1</v>
      </c>
      <c r="K214">
        <v>111.9</v>
      </c>
      <c r="L214">
        <v>140.9</v>
      </c>
      <c r="M214">
        <v>133.5</v>
      </c>
      <c r="N214">
        <v>154.5</v>
      </c>
      <c r="O214">
        <v>139.69999999999999</v>
      </c>
      <c r="P214">
        <v>121.1</v>
      </c>
      <c r="Q214">
        <v>148</v>
      </c>
      <c r="R214">
        <v>139.1</v>
      </c>
      <c r="S214">
        <v>146.69999999999999</v>
      </c>
      <c r="T214">
        <v>142.19999999999999</v>
      </c>
      <c r="U214">
        <v>146.9</v>
      </c>
      <c r="V214">
        <v>145.1</v>
      </c>
      <c r="W214">
        <v>125.5</v>
      </c>
      <c r="X214">
        <v>136.5</v>
      </c>
      <c r="Y214">
        <v>132</v>
      </c>
      <c r="Z214">
        <v>142.1</v>
      </c>
      <c r="AA214">
        <v>147.80000000000001</v>
      </c>
      <c r="AB214">
        <v>162.6</v>
      </c>
      <c r="AC214">
        <v>136.30000000000001</v>
      </c>
      <c r="AD214">
        <v>140.80000000000001</v>
      </c>
    </row>
    <row r="215" spans="1:30" x14ac:dyDescent="0.35">
      <c r="A215" t="s">
        <v>30</v>
      </c>
      <c r="B215">
        <v>2018</v>
      </c>
      <c r="C215" t="s">
        <v>45</v>
      </c>
      <c r="D215">
        <v>137.1</v>
      </c>
      <c r="E215">
        <v>151.9</v>
      </c>
      <c r="F215">
        <v>137.4</v>
      </c>
      <c r="G215">
        <v>142.4</v>
      </c>
      <c r="H215">
        <v>140.19999999999999</v>
      </c>
      <c r="I215">
        <v>136.6</v>
      </c>
      <c r="J215">
        <v>120.9</v>
      </c>
      <c r="K215">
        <v>109.9</v>
      </c>
      <c r="L215">
        <v>140.19999999999999</v>
      </c>
      <c r="M215">
        <v>137.80000000000001</v>
      </c>
      <c r="N215">
        <v>156</v>
      </c>
      <c r="O215">
        <v>138.5</v>
      </c>
      <c r="P215">
        <v>124.2</v>
      </c>
      <c r="Q215">
        <v>151.6</v>
      </c>
      <c r="R215">
        <v>145.9</v>
      </c>
      <c r="S215">
        <v>150.80000000000001</v>
      </c>
      <c r="T215">
        <v>149.5</v>
      </c>
      <c r="U215">
        <v>139.2551</v>
      </c>
      <c r="V215">
        <v>149</v>
      </c>
      <c r="W215">
        <v>128.9</v>
      </c>
      <c r="X215">
        <v>143.30000000000001</v>
      </c>
      <c r="Y215">
        <v>133.19999999999999</v>
      </c>
      <c r="Z215">
        <v>149.6</v>
      </c>
      <c r="AA215">
        <v>155.1</v>
      </c>
      <c r="AB215">
        <v>162.4</v>
      </c>
      <c r="AC215">
        <v>141.6</v>
      </c>
      <c r="AD215">
        <v>141.9</v>
      </c>
    </row>
    <row r="216" spans="1:30" x14ac:dyDescent="0.35">
      <c r="A216" t="s">
        <v>32</v>
      </c>
      <c r="B216">
        <v>2018</v>
      </c>
      <c r="C216" t="s">
        <v>45</v>
      </c>
      <c r="D216">
        <v>138.5</v>
      </c>
      <c r="E216">
        <v>147.80000000000001</v>
      </c>
      <c r="F216">
        <v>141.1</v>
      </c>
      <c r="G216">
        <v>141.6</v>
      </c>
      <c r="H216">
        <v>138.5</v>
      </c>
      <c r="I216">
        <v>132.4</v>
      </c>
      <c r="J216">
        <v>117.5</v>
      </c>
      <c r="K216">
        <v>111</v>
      </c>
      <c r="L216">
        <v>141.5</v>
      </c>
      <c r="M216">
        <v>128.1</v>
      </c>
      <c r="N216">
        <v>152.9</v>
      </c>
      <c r="O216">
        <v>137.6</v>
      </c>
      <c r="P216">
        <v>118.1</v>
      </c>
      <c r="Q216">
        <v>142.69999999999999</v>
      </c>
      <c r="R216">
        <v>130.30000000000001</v>
      </c>
      <c r="S216">
        <v>140.80000000000001</v>
      </c>
      <c r="T216">
        <v>136.19999999999999</v>
      </c>
      <c r="U216">
        <v>146.5</v>
      </c>
      <c r="V216">
        <v>132.4</v>
      </c>
      <c r="W216">
        <v>118.8</v>
      </c>
      <c r="X216">
        <v>131.69999999999999</v>
      </c>
      <c r="Y216">
        <v>130.80000000000001</v>
      </c>
      <c r="Z216">
        <v>137.30000000000001</v>
      </c>
      <c r="AA216">
        <v>146.5</v>
      </c>
      <c r="AB216">
        <v>164.6</v>
      </c>
      <c r="AC216">
        <v>131.69999999999999</v>
      </c>
      <c r="AD216">
        <v>138</v>
      </c>
    </row>
    <row r="217" spans="1:30" x14ac:dyDescent="0.35">
      <c r="A217" t="s">
        <v>33</v>
      </c>
      <c r="B217">
        <v>2018</v>
      </c>
      <c r="C217" t="s">
        <v>45</v>
      </c>
      <c r="D217">
        <v>137.5</v>
      </c>
      <c r="E217">
        <v>150.5</v>
      </c>
      <c r="F217">
        <v>138.80000000000001</v>
      </c>
      <c r="G217">
        <v>142.1</v>
      </c>
      <c r="H217">
        <v>139.4</v>
      </c>
      <c r="I217">
        <v>135.19999999999999</v>
      </c>
      <c r="J217">
        <v>119.8</v>
      </c>
      <c r="K217">
        <v>110.3</v>
      </c>
      <c r="L217">
        <v>140.6</v>
      </c>
      <c r="M217">
        <v>133.80000000000001</v>
      </c>
      <c r="N217">
        <v>154.6</v>
      </c>
      <c r="O217">
        <v>138.19999999999999</v>
      </c>
      <c r="P217">
        <v>122</v>
      </c>
      <c r="Q217">
        <v>148.1</v>
      </c>
      <c r="R217">
        <v>139.4</v>
      </c>
      <c r="S217">
        <v>146.80000000000001</v>
      </c>
      <c r="T217">
        <v>143.19999999999999</v>
      </c>
      <c r="U217">
        <v>146.5</v>
      </c>
      <c r="V217">
        <v>142.69999999999999</v>
      </c>
      <c r="W217">
        <v>123.6</v>
      </c>
      <c r="X217">
        <v>136.80000000000001</v>
      </c>
      <c r="Y217">
        <v>132.19999999999999</v>
      </c>
      <c r="Z217">
        <v>144.9</v>
      </c>
      <c r="AA217">
        <v>150.1</v>
      </c>
      <c r="AB217">
        <v>163</v>
      </c>
      <c r="AC217">
        <v>136.80000000000001</v>
      </c>
      <c r="AD217">
        <v>140.1</v>
      </c>
    </row>
    <row r="218" spans="1:30" x14ac:dyDescent="0.35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135.5</v>
      </c>
      <c r="I218">
        <v>131.69999999999999</v>
      </c>
      <c r="J218">
        <v>121.3</v>
      </c>
      <c r="K218">
        <v>108.4</v>
      </c>
      <c r="L218">
        <v>138.9</v>
      </c>
      <c r="M218">
        <v>137</v>
      </c>
      <c r="N218">
        <v>155.80000000000001</v>
      </c>
      <c r="O218">
        <v>137.4</v>
      </c>
      <c r="P218">
        <v>123.9</v>
      </c>
      <c r="Q218">
        <v>150.6</v>
      </c>
      <c r="R218">
        <v>145.1</v>
      </c>
      <c r="S218">
        <v>149.9</v>
      </c>
      <c r="T218">
        <v>150.1</v>
      </c>
      <c r="U218">
        <v>139.2551</v>
      </c>
      <c r="V218">
        <v>146.19999999999999</v>
      </c>
      <c r="W218">
        <v>128.6</v>
      </c>
      <c r="X218">
        <v>142.9</v>
      </c>
      <c r="Y218">
        <v>133.5</v>
      </c>
      <c r="Z218">
        <v>149.6</v>
      </c>
      <c r="AA218">
        <v>155.19999999999999</v>
      </c>
      <c r="AB218">
        <v>162.69999999999999</v>
      </c>
      <c r="AC218">
        <v>141.69999999999999</v>
      </c>
      <c r="AD218">
        <v>141</v>
      </c>
    </row>
    <row r="219" spans="1:30" x14ac:dyDescent="0.35">
      <c r="A219" t="s">
        <v>32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135.19999999999999</v>
      </c>
      <c r="I219">
        <v>130.5</v>
      </c>
      <c r="J219">
        <v>118.2</v>
      </c>
      <c r="K219">
        <v>110.4</v>
      </c>
      <c r="L219">
        <v>140.4</v>
      </c>
      <c r="M219">
        <v>128.1</v>
      </c>
      <c r="N219">
        <v>153.19999999999999</v>
      </c>
      <c r="O219">
        <v>137.30000000000001</v>
      </c>
      <c r="P219">
        <v>118.1</v>
      </c>
      <c r="Q219">
        <v>143</v>
      </c>
      <c r="R219">
        <v>130.4</v>
      </c>
      <c r="S219">
        <v>141.1</v>
      </c>
      <c r="T219">
        <v>136.30000000000001</v>
      </c>
      <c r="U219">
        <v>147.69999999999999</v>
      </c>
      <c r="V219">
        <v>128.6</v>
      </c>
      <c r="W219">
        <v>118.6</v>
      </c>
      <c r="X219">
        <v>131.9</v>
      </c>
      <c r="Y219">
        <v>131.69999999999999</v>
      </c>
      <c r="Z219">
        <v>137.80000000000001</v>
      </c>
      <c r="AA219">
        <v>146.6</v>
      </c>
      <c r="AB219">
        <v>164.7</v>
      </c>
      <c r="AC219">
        <v>131.80000000000001</v>
      </c>
      <c r="AD219">
        <v>138</v>
      </c>
    </row>
    <row r="220" spans="1:30" x14ac:dyDescent="0.35">
      <c r="A220" t="s">
        <v>33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135.4</v>
      </c>
      <c r="I220">
        <v>131.30000000000001</v>
      </c>
      <c r="J220">
        <v>120.3</v>
      </c>
      <c r="K220">
        <v>109.1</v>
      </c>
      <c r="L220">
        <v>139.4</v>
      </c>
      <c r="M220">
        <v>133.30000000000001</v>
      </c>
      <c r="N220">
        <v>154.6</v>
      </c>
      <c r="O220">
        <v>137.4</v>
      </c>
      <c r="P220">
        <v>121.8</v>
      </c>
      <c r="Q220">
        <v>147.6</v>
      </c>
      <c r="R220">
        <v>139</v>
      </c>
      <c r="S220">
        <v>146.4</v>
      </c>
      <c r="T220">
        <v>143.6</v>
      </c>
      <c r="U220">
        <v>147.69999999999999</v>
      </c>
      <c r="V220">
        <v>139.5</v>
      </c>
      <c r="W220">
        <v>123.3</v>
      </c>
      <c r="X220">
        <v>136.69999999999999</v>
      </c>
      <c r="Y220">
        <v>132.80000000000001</v>
      </c>
      <c r="Z220">
        <v>145.1</v>
      </c>
      <c r="AA220">
        <v>150.19999999999999</v>
      </c>
      <c r="AB220">
        <v>163.19999999999999</v>
      </c>
      <c r="AC220">
        <v>136.9</v>
      </c>
      <c r="AD220">
        <v>139.6</v>
      </c>
    </row>
    <row r="221" spans="1:30" x14ac:dyDescent="0.35">
      <c r="A221" t="s">
        <v>30</v>
      </c>
      <c r="B221">
        <v>2019</v>
      </c>
      <c r="C221" t="s">
        <v>34</v>
      </c>
      <c r="D221">
        <v>136.80000000000001</v>
      </c>
      <c r="E221">
        <v>153</v>
      </c>
      <c r="F221">
        <v>139.1</v>
      </c>
      <c r="G221">
        <v>142.5</v>
      </c>
      <c r="H221">
        <v>135.80000000000001</v>
      </c>
      <c r="I221">
        <v>128.69999999999999</v>
      </c>
      <c r="J221">
        <v>121.5</v>
      </c>
      <c r="K221">
        <v>108.3</v>
      </c>
      <c r="L221">
        <v>139.19999999999999</v>
      </c>
      <c r="M221">
        <v>137.4</v>
      </c>
      <c r="N221">
        <v>156.19999999999999</v>
      </c>
      <c r="O221">
        <v>137.19999999999999</v>
      </c>
      <c r="P221">
        <v>124.1</v>
      </c>
      <c r="Q221">
        <v>150.5</v>
      </c>
      <c r="R221">
        <v>146.1</v>
      </c>
      <c r="S221">
        <v>149.9</v>
      </c>
      <c r="T221">
        <v>150.1</v>
      </c>
      <c r="U221">
        <v>139.2551</v>
      </c>
      <c r="V221">
        <v>145.30000000000001</v>
      </c>
      <c r="W221">
        <v>129.19999999999999</v>
      </c>
      <c r="X221">
        <v>143.4</v>
      </c>
      <c r="Y221">
        <v>134.9</v>
      </c>
      <c r="Z221">
        <v>149.9</v>
      </c>
      <c r="AA221">
        <v>155.5</v>
      </c>
      <c r="AB221">
        <v>162.80000000000001</v>
      </c>
      <c r="AC221">
        <v>142.19999999999999</v>
      </c>
      <c r="AD221">
        <v>141</v>
      </c>
    </row>
    <row r="222" spans="1:30" x14ac:dyDescent="0.35">
      <c r="A222" t="s">
        <v>32</v>
      </c>
      <c r="B222">
        <v>2019</v>
      </c>
      <c r="C222" t="s">
        <v>34</v>
      </c>
      <c r="D222">
        <v>139.4</v>
      </c>
      <c r="E222">
        <v>150.1</v>
      </c>
      <c r="F222">
        <v>145.30000000000001</v>
      </c>
      <c r="G222">
        <v>141.69999999999999</v>
      </c>
      <c r="H222">
        <v>137</v>
      </c>
      <c r="I222">
        <v>131.6</v>
      </c>
      <c r="J222">
        <v>119.9</v>
      </c>
      <c r="K222">
        <v>110.4</v>
      </c>
      <c r="L222">
        <v>140.80000000000001</v>
      </c>
      <c r="M222">
        <v>128.30000000000001</v>
      </c>
      <c r="N222">
        <v>153.5</v>
      </c>
      <c r="O222">
        <v>138</v>
      </c>
      <c r="P222">
        <v>118.4</v>
      </c>
      <c r="Q222">
        <v>143.30000000000001</v>
      </c>
      <c r="R222">
        <v>130.80000000000001</v>
      </c>
      <c r="S222">
        <v>141.4</v>
      </c>
      <c r="T222">
        <v>136.6</v>
      </c>
      <c r="U222">
        <v>148.5</v>
      </c>
      <c r="V222">
        <v>127.1</v>
      </c>
      <c r="W222">
        <v>119.2</v>
      </c>
      <c r="X222">
        <v>132.19999999999999</v>
      </c>
      <c r="Y222">
        <v>133</v>
      </c>
      <c r="Z222">
        <v>138.5</v>
      </c>
      <c r="AA222">
        <v>146.6</v>
      </c>
      <c r="AB222">
        <v>164.9</v>
      </c>
      <c r="AC222">
        <v>132.4</v>
      </c>
      <c r="AD222">
        <v>138.6</v>
      </c>
    </row>
    <row r="223" spans="1:30" x14ac:dyDescent="0.35">
      <c r="A223" t="s">
        <v>33</v>
      </c>
      <c r="B223">
        <v>2019</v>
      </c>
      <c r="C223" t="s">
        <v>34</v>
      </c>
      <c r="D223">
        <v>137.6</v>
      </c>
      <c r="E223">
        <v>152</v>
      </c>
      <c r="F223">
        <v>141.5</v>
      </c>
      <c r="G223">
        <v>142.19999999999999</v>
      </c>
      <c r="H223">
        <v>136.4</v>
      </c>
      <c r="I223">
        <v>129.69999999999999</v>
      </c>
      <c r="J223">
        <v>121</v>
      </c>
      <c r="K223">
        <v>109</v>
      </c>
      <c r="L223">
        <v>139.69999999999999</v>
      </c>
      <c r="M223">
        <v>133.6</v>
      </c>
      <c r="N223">
        <v>154.9</v>
      </c>
      <c r="O223">
        <v>137.5</v>
      </c>
      <c r="P223">
        <v>122</v>
      </c>
      <c r="Q223">
        <v>147.69999999999999</v>
      </c>
      <c r="R223">
        <v>139.69999999999999</v>
      </c>
      <c r="S223">
        <v>146.5</v>
      </c>
      <c r="T223">
        <v>143.69999999999999</v>
      </c>
      <c r="U223">
        <v>148.5</v>
      </c>
      <c r="V223">
        <v>138.4</v>
      </c>
      <c r="W223">
        <v>123.9</v>
      </c>
      <c r="X223">
        <v>137.1</v>
      </c>
      <c r="Y223">
        <v>134.1</v>
      </c>
      <c r="Z223">
        <v>145.6</v>
      </c>
      <c r="AA223">
        <v>150.30000000000001</v>
      </c>
      <c r="AB223">
        <v>163.4</v>
      </c>
      <c r="AC223">
        <v>137.4</v>
      </c>
      <c r="AD223">
        <v>139.9</v>
      </c>
    </row>
    <row r="224" spans="1:30" x14ac:dyDescent="0.35">
      <c r="A224" t="s">
        <v>30</v>
      </c>
      <c r="B224">
        <v>2019</v>
      </c>
      <c r="C224" t="s">
        <v>35</v>
      </c>
      <c r="D224">
        <v>136.9</v>
      </c>
      <c r="E224">
        <v>154.1</v>
      </c>
      <c r="F224">
        <v>138.69999999999999</v>
      </c>
      <c r="G224">
        <v>142.5</v>
      </c>
      <c r="H224">
        <v>136.1</v>
      </c>
      <c r="I224">
        <v>128.19999999999999</v>
      </c>
      <c r="J224">
        <v>122.3</v>
      </c>
      <c r="K224">
        <v>108.3</v>
      </c>
      <c r="L224">
        <v>138.9</v>
      </c>
      <c r="M224">
        <v>137.4</v>
      </c>
      <c r="N224">
        <v>156.4</v>
      </c>
      <c r="O224">
        <v>137.30000000000001</v>
      </c>
      <c r="P224">
        <v>124.1</v>
      </c>
      <c r="Q224">
        <v>150.80000000000001</v>
      </c>
      <c r="R224">
        <v>146.1</v>
      </c>
      <c r="S224">
        <v>150.1</v>
      </c>
      <c r="T224">
        <v>150</v>
      </c>
      <c r="U224">
        <v>139.2551</v>
      </c>
      <c r="V224">
        <v>146.4</v>
      </c>
      <c r="W224">
        <v>129.9</v>
      </c>
      <c r="X224">
        <v>143.80000000000001</v>
      </c>
      <c r="Y224">
        <v>134</v>
      </c>
      <c r="Z224">
        <v>150.4</v>
      </c>
      <c r="AA224">
        <v>155.5</v>
      </c>
      <c r="AB224">
        <v>162.9</v>
      </c>
      <c r="AC224">
        <v>142.4</v>
      </c>
      <c r="AD224">
        <v>141.19999999999999</v>
      </c>
    </row>
    <row r="225" spans="1:30" x14ac:dyDescent="0.35">
      <c r="A225" t="s">
        <v>32</v>
      </c>
      <c r="B225">
        <v>2019</v>
      </c>
      <c r="C225" t="s">
        <v>35</v>
      </c>
      <c r="D225">
        <v>139.69999999999999</v>
      </c>
      <c r="E225">
        <v>151.1</v>
      </c>
      <c r="F225">
        <v>142.9</v>
      </c>
      <c r="G225">
        <v>141.9</v>
      </c>
      <c r="H225">
        <v>139.4</v>
      </c>
      <c r="I225">
        <v>141.19999999999999</v>
      </c>
      <c r="J225">
        <v>120.7</v>
      </c>
      <c r="K225">
        <v>110.4</v>
      </c>
      <c r="L225">
        <v>140.69999999999999</v>
      </c>
      <c r="M225">
        <v>128.5</v>
      </c>
      <c r="N225">
        <v>153.9</v>
      </c>
      <c r="O225">
        <v>139.6</v>
      </c>
      <c r="P225">
        <v>118.4</v>
      </c>
      <c r="Q225">
        <v>143.5</v>
      </c>
      <c r="R225">
        <v>131.19999999999999</v>
      </c>
      <c r="S225">
        <v>141.6</v>
      </c>
      <c r="T225">
        <v>136.80000000000001</v>
      </c>
      <c r="U225">
        <v>149</v>
      </c>
      <c r="V225">
        <v>128.80000000000001</v>
      </c>
      <c r="W225">
        <v>119.9</v>
      </c>
      <c r="X225">
        <v>133</v>
      </c>
      <c r="Y225">
        <v>132.5</v>
      </c>
      <c r="Z225">
        <v>139.19999999999999</v>
      </c>
      <c r="AA225">
        <v>146.69999999999999</v>
      </c>
      <c r="AB225">
        <v>165.3</v>
      </c>
      <c r="AC225">
        <v>132.80000000000001</v>
      </c>
      <c r="AD225">
        <v>139.5</v>
      </c>
    </row>
    <row r="226" spans="1:30" x14ac:dyDescent="0.35">
      <c r="A226" t="s">
        <v>33</v>
      </c>
      <c r="B226">
        <v>2019</v>
      </c>
      <c r="C226" t="s">
        <v>35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137.6</v>
      </c>
      <c r="I226">
        <v>132.6</v>
      </c>
      <c r="J226">
        <v>121.8</v>
      </c>
      <c r="K226">
        <v>109</v>
      </c>
      <c r="L226">
        <v>139.5</v>
      </c>
      <c r="M226">
        <v>133.69999999999999</v>
      </c>
      <c r="N226">
        <v>155.19999999999999</v>
      </c>
      <c r="O226">
        <v>138.1</v>
      </c>
      <c r="P226">
        <v>122</v>
      </c>
      <c r="Q226">
        <v>147.9</v>
      </c>
      <c r="R226">
        <v>139.9</v>
      </c>
      <c r="S226">
        <v>146.69999999999999</v>
      </c>
      <c r="T226">
        <v>143.80000000000001</v>
      </c>
      <c r="U226">
        <v>149</v>
      </c>
      <c r="V226">
        <v>139.69999999999999</v>
      </c>
      <c r="W226">
        <v>124.6</v>
      </c>
      <c r="X226">
        <v>137.69999999999999</v>
      </c>
      <c r="Y226">
        <v>133.4</v>
      </c>
      <c r="Z226">
        <v>146.19999999999999</v>
      </c>
      <c r="AA226">
        <v>150.30000000000001</v>
      </c>
      <c r="AB226">
        <v>163.5</v>
      </c>
      <c r="AC226">
        <v>137.69999999999999</v>
      </c>
      <c r="AD226">
        <v>140.4</v>
      </c>
    </row>
    <row r="227" spans="1:30" x14ac:dyDescent="0.35">
      <c r="A227" t="s">
        <v>30</v>
      </c>
      <c r="B227">
        <v>2019</v>
      </c>
      <c r="C227" t="s">
        <v>76</v>
      </c>
      <c r="D227" s="2">
        <v>138.98181818181817</v>
      </c>
      <c r="E227" s="2">
        <v>160.09090909090909</v>
      </c>
      <c r="F227" s="2">
        <v>139.54545454545453</v>
      </c>
      <c r="G227" s="2">
        <v>144.51818181818183</v>
      </c>
      <c r="H227" s="2">
        <v>142.39090909090908</v>
      </c>
      <c r="I227" s="2">
        <v>155.63636363636365</v>
      </c>
      <c r="J227" s="2">
        <v>129.20909090909092</v>
      </c>
      <c r="K227" s="2">
        <v>111.0181818181818</v>
      </c>
      <c r="L227" s="2">
        <v>142.47272727272727</v>
      </c>
      <c r="M227" s="2">
        <v>138.14545454545453</v>
      </c>
      <c r="N227" s="2">
        <v>156.87272727272727</v>
      </c>
      <c r="O227" s="2">
        <v>143.46363636363637</v>
      </c>
      <c r="P227" s="2">
        <v>124.88181818181819</v>
      </c>
      <c r="Q227" s="2">
        <v>151.48181818181817</v>
      </c>
      <c r="R227" s="2">
        <v>146.47272727272727</v>
      </c>
      <c r="S227" s="2">
        <v>150.79090909090908</v>
      </c>
      <c r="T227" s="2">
        <v>150.22727272727272</v>
      </c>
      <c r="U227" s="2">
        <v>139.25510000000003</v>
      </c>
      <c r="V227" s="2">
        <v>147.15454545454548</v>
      </c>
      <c r="W227" s="2">
        <v>131.0090909090909</v>
      </c>
      <c r="X227" s="2">
        <v>146.68181818181819</v>
      </c>
      <c r="Y227" s="2">
        <v>137.06363636363633</v>
      </c>
      <c r="Z227" s="2">
        <v>152.18181818181822</v>
      </c>
      <c r="AA227" s="2">
        <v>158.38181818181818</v>
      </c>
      <c r="AB227" s="2">
        <v>164.77272727272728</v>
      </c>
      <c r="AC227" s="2">
        <v>144.17272727272726</v>
      </c>
      <c r="AD227" s="2">
        <v>145.18181818181819</v>
      </c>
    </row>
    <row r="228" spans="1:30" x14ac:dyDescent="0.35">
      <c r="A228" t="s">
        <v>49</v>
      </c>
      <c r="B228">
        <v>2019</v>
      </c>
      <c r="C228" t="s">
        <v>76</v>
      </c>
      <c r="D228" s="2">
        <v>141.56363636363636</v>
      </c>
      <c r="E228" s="2">
        <v>157.34545454545454</v>
      </c>
      <c r="F228" s="2">
        <v>143.82727272727274</v>
      </c>
      <c r="G228" s="2">
        <v>144</v>
      </c>
      <c r="H228" s="2">
        <v>147.0181818181818</v>
      </c>
      <c r="I228" s="2">
        <v>177.33636363636367</v>
      </c>
      <c r="J228" s="2">
        <v>127.5090909090909</v>
      </c>
      <c r="K228" s="2">
        <v>112.47272727272728</v>
      </c>
      <c r="L228" s="2">
        <v>142.84545454545457</v>
      </c>
      <c r="M228" s="2">
        <v>129.41818181818181</v>
      </c>
      <c r="N228" s="2">
        <v>155.46363636363637</v>
      </c>
      <c r="O228" s="2">
        <v>146.58181818181816</v>
      </c>
      <c r="P228" s="2">
        <v>119.76363636363635</v>
      </c>
      <c r="Q228" s="2">
        <v>144.73636363636362</v>
      </c>
      <c r="R228" s="2">
        <v>131.80909090909088</v>
      </c>
      <c r="S228" s="2">
        <v>142.76363636363635</v>
      </c>
      <c r="T228" s="2">
        <v>137.81818181818181</v>
      </c>
      <c r="U228" s="2">
        <v>150.76363636363635</v>
      </c>
      <c r="V228" s="2">
        <v>128.92727272727274</v>
      </c>
      <c r="W228" s="2">
        <v>120.76363636363637</v>
      </c>
      <c r="X228" s="2">
        <v>134.67272727272729</v>
      </c>
      <c r="Y228" s="2">
        <v>135.9</v>
      </c>
      <c r="Z228" s="2">
        <v>140.74545454545455</v>
      </c>
      <c r="AA228" s="2">
        <v>149.6090909090909</v>
      </c>
      <c r="AB228" s="2">
        <v>167.37272727272727</v>
      </c>
      <c r="AC228" s="2">
        <v>134.4909090909091</v>
      </c>
      <c r="AD228" s="2">
        <v>143.01818181818183</v>
      </c>
    </row>
    <row r="229" spans="1:30" x14ac:dyDescent="0.35">
      <c r="A229" t="s">
        <v>77</v>
      </c>
      <c r="B229">
        <v>2019</v>
      </c>
      <c r="C229" t="s">
        <v>76</v>
      </c>
      <c r="D229" s="2">
        <v>139.78181818181818</v>
      </c>
      <c r="E229" s="2">
        <v>159.11818181818182</v>
      </c>
      <c r="F229" s="2">
        <v>141.19999999999996</v>
      </c>
      <c r="G229" s="2">
        <v>144.33636363636364</v>
      </c>
      <c r="H229" s="2">
        <v>144.55454545454546</v>
      </c>
      <c r="I229" s="2">
        <v>163</v>
      </c>
      <c r="J229" s="2">
        <v>128.66363636363636</v>
      </c>
      <c r="K229" s="2">
        <v>111.5</v>
      </c>
      <c r="L229" s="2">
        <v>142.60000000000002</v>
      </c>
      <c r="M229" s="2">
        <v>134.5090909090909</v>
      </c>
      <c r="N229" s="2">
        <v>156.20909090909089</v>
      </c>
      <c r="O229" s="2">
        <v>144.6090909090909</v>
      </c>
      <c r="P229" s="2">
        <v>122.98181818181818</v>
      </c>
      <c r="Q229" s="2">
        <v>148.81818181818181</v>
      </c>
      <c r="R229" s="2">
        <v>140.38181818181818</v>
      </c>
      <c r="S229" s="2">
        <v>147.59090909090909</v>
      </c>
      <c r="T229" s="2">
        <v>144.36363636363635</v>
      </c>
      <c r="U229" s="2">
        <v>150.76363636363635</v>
      </c>
      <c r="V229" s="2">
        <v>140.24545454545452</v>
      </c>
      <c r="W229" s="2">
        <v>125.59090909090907</v>
      </c>
      <c r="X229" s="2">
        <v>139.91818181818181</v>
      </c>
      <c r="Y229" s="2">
        <v>136.59090909090909</v>
      </c>
      <c r="Z229" s="2">
        <v>147.84545454545457</v>
      </c>
      <c r="AA229" s="2">
        <v>153.23636363636365</v>
      </c>
      <c r="AB229" s="2">
        <v>165.46363636363637</v>
      </c>
      <c r="AC229" s="2">
        <v>139.45454545454547</v>
      </c>
      <c r="AD229" s="2">
        <v>144.18181818181819</v>
      </c>
    </row>
    <row r="230" spans="1:30" x14ac:dyDescent="0.35">
      <c r="A230" t="s">
        <v>30</v>
      </c>
      <c r="B230">
        <v>2019</v>
      </c>
      <c r="C230" t="s">
        <v>37</v>
      </c>
      <c r="D230">
        <v>137.4</v>
      </c>
      <c r="E230">
        <v>159.5</v>
      </c>
      <c r="F230">
        <v>134.5</v>
      </c>
      <c r="G230">
        <v>142.6</v>
      </c>
      <c r="H230">
        <v>143.69999999999999</v>
      </c>
      <c r="I230">
        <v>133.4</v>
      </c>
      <c r="J230">
        <v>125.1</v>
      </c>
      <c r="K230">
        <v>109.3</v>
      </c>
      <c r="L230">
        <v>139.30000000000001</v>
      </c>
      <c r="M230">
        <v>137.69999999999999</v>
      </c>
      <c r="N230">
        <v>156.4</v>
      </c>
      <c r="O230">
        <v>139.19999999999999</v>
      </c>
      <c r="P230">
        <v>124</v>
      </c>
      <c r="Q230">
        <v>151.30000000000001</v>
      </c>
      <c r="R230">
        <v>146.6</v>
      </c>
      <c r="S230">
        <v>150.69999999999999</v>
      </c>
      <c r="T230">
        <v>149.5</v>
      </c>
      <c r="U230">
        <v>139.2551</v>
      </c>
      <c r="V230">
        <v>146.9</v>
      </c>
      <c r="W230">
        <v>130.19999999999999</v>
      </c>
      <c r="X230">
        <v>145.9</v>
      </c>
      <c r="Y230">
        <v>133.9</v>
      </c>
      <c r="Z230">
        <v>151.30000000000001</v>
      </c>
      <c r="AA230">
        <v>156.69999999999999</v>
      </c>
      <c r="AB230">
        <v>163.30000000000001</v>
      </c>
      <c r="AC230">
        <v>142.9</v>
      </c>
      <c r="AD230">
        <v>142.4</v>
      </c>
    </row>
    <row r="231" spans="1:30" x14ac:dyDescent="0.35">
      <c r="A231" t="s">
        <v>32</v>
      </c>
      <c r="B231">
        <v>2019</v>
      </c>
      <c r="C231" t="s">
        <v>37</v>
      </c>
      <c r="D231">
        <v>140.4</v>
      </c>
      <c r="E231">
        <v>156.69999999999999</v>
      </c>
      <c r="F231">
        <v>138.30000000000001</v>
      </c>
      <c r="G231">
        <v>142.4</v>
      </c>
      <c r="H231">
        <v>149.69999999999999</v>
      </c>
      <c r="I231">
        <v>161.6</v>
      </c>
      <c r="J231">
        <v>124.4</v>
      </c>
      <c r="K231">
        <v>111.2</v>
      </c>
      <c r="L231">
        <v>141</v>
      </c>
      <c r="M231">
        <v>128.9</v>
      </c>
      <c r="N231">
        <v>154.5</v>
      </c>
      <c r="O231">
        <v>143.80000000000001</v>
      </c>
      <c r="P231">
        <v>118.6</v>
      </c>
      <c r="Q231">
        <v>144</v>
      </c>
      <c r="R231">
        <v>131.69999999999999</v>
      </c>
      <c r="S231">
        <v>142.19999999999999</v>
      </c>
      <c r="T231">
        <v>137.19999999999999</v>
      </c>
      <c r="U231">
        <v>150.1</v>
      </c>
      <c r="V231">
        <v>129.4</v>
      </c>
      <c r="W231">
        <v>120.1</v>
      </c>
      <c r="X231">
        <v>134</v>
      </c>
      <c r="Y231">
        <v>132.6</v>
      </c>
      <c r="Z231">
        <v>139.80000000000001</v>
      </c>
      <c r="AA231">
        <v>148</v>
      </c>
      <c r="AB231">
        <v>166.2</v>
      </c>
      <c r="AC231">
        <v>133.30000000000001</v>
      </c>
      <c r="AD231">
        <v>141.5</v>
      </c>
    </row>
    <row r="232" spans="1:30" x14ac:dyDescent="0.35">
      <c r="A232" t="s">
        <v>33</v>
      </c>
      <c r="B232">
        <v>2019</v>
      </c>
      <c r="C232" t="s">
        <v>37</v>
      </c>
      <c r="D232">
        <v>138.30000000000001</v>
      </c>
      <c r="E232">
        <v>158.5</v>
      </c>
      <c r="F232">
        <v>136</v>
      </c>
      <c r="G232">
        <v>142.5</v>
      </c>
      <c r="H232">
        <v>146.5</v>
      </c>
      <c r="I232">
        <v>143</v>
      </c>
      <c r="J232">
        <v>124.9</v>
      </c>
      <c r="K232">
        <v>109.9</v>
      </c>
      <c r="L232">
        <v>139.9</v>
      </c>
      <c r="M232">
        <v>134</v>
      </c>
      <c r="N232">
        <v>155.5</v>
      </c>
      <c r="O232">
        <v>140.9</v>
      </c>
      <c r="P232">
        <v>122</v>
      </c>
      <c r="Q232">
        <v>148.4</v>
      </c>
      <c r="R232">
        <v>140.4</v>
      </c>
      <c r="S232">
        <v>147.30000000000001</v>
      </c>
      <c r="T232">
        <v>143.69999999999999</v>
      </c>
      <c r="U232">
        <v>150.1</v>
      </c>
      <c r="V232">
        <v>140.30000000000001</v>
      </c>
      <c r="W232">
        <v>124.9</v>
      </c>
      <c r="X232">
        <v>139.19999999999999</v>
      </c>
      <c r="Y232">
        <v>133.4</v>
      </c>
      <c r="Z232">
        <v>146.9</v>
      </c>
      <c r="AA232">
        <v>151.6</v>
      </c>
      <c r="AB232">
        <v>164.1</v>
      </c>
      <c r="AC232">
        <v>138.19999999999999</v>
      </c>
      <c r="AD232">
        <v>142</v>
      </c>
    </row>
    <row r="233" spans="1:30" x14ac:dyDescent="0.35">
      <c r="A233" t="s">
        <v>30</v>
      </c>
      <c r="B233">
        <v>2019</v>
      </c>
      <c r="C233" t="s">
        <v>38</v>
      </c>
      <c r="D233">
        <v>137.80000000000001</v>
      </c>
      <c r="E233">
        <v>163.5</v>
      </c>
      <c r="F233">
        <v>136.19999999999999</v>
      </c>
      <c r="G233">
        <v>143.19999999999999</v>
      </c>
      <c r="H233">
        <v>143.30000000000001</v>
      </c>
      <c r="I233">
        <v>140.6</v>
      </c>
      <c r="J233">
        <v>128.69999999999999</v>
      </c>
      <c r="K233">
        <v>110.6</v>
      </c>
      <c r="L233">
        <v>140.4</v>
      </c>
      <c r="M233">
        <v>138</v>
      </c>
      <c r="N233">
        <v>156.6</v>
      </c>
      <c r="O233">
        <v>141</v>
      </c>
      <c r="P233">
        <v>124.3</v>
      </c>
      <c r="Q233">
        <v>151.4</v>
      </c>
      <c r="R233">
        <v>146.5</v>
      </c>
      <c r="S233">
        <v>150.69999999999999</v>
      </c>
      <c r="T233">
        <v>149.6</v>
      </c>
      <c r="U233">
        <v>139.2551</v>
      </c>
      <c r="V233">
        <v>147.80000000000001</v>
      </c>
      <c r="W233">
        <v>130.19999999999999</v>
      </c>
      <c r="X233">
        <v>146.4</v>
      </c>
      <c r="Y233">
        <v>134.80000000000001</v>
      </c>
      <c r="Z233">
        <v>151.69999999999999</v>
      </c>
      <c r="AA233">
        <v>157.69999999999999</v>
      </c>
      <c r="AB233">
        <v>164.2</v>
      </c>
      <c r="AC233">
        <v>143.30000000000001</v>
      </c>
      <c r="AD233">
        <v>143.6</v>
      </c>
    </row>
    <row r="234" spans="1:30" x14ac:dyDescent="0.35">
      <c r="A234" t="s">
        <v>32</v>
      </c>
      <c r="B234">
        <v>2019</v>
      </c>
      <c r="C234" t="s">
        <v>38</v>
      </c>
      <c r="D234">
        <v>140.69999999999999</v>
      </c>
      <c r="E234">
        <v>159.6</v>
      </c>
      <c r="F234">
        <v>140.4</v>
      </c>
      <c r="G234">
        <v>143.4</v>
      </c>
      <c r="H234">
        <v>150.9</v>
      </c>
      <c r="I234">
        <v>169.8</v>
      </c>
      <c r="J234">
        <v>127.4</v>
      </c>
      <c r="K234">
        <v>111.8</v>
      </c>
      <c r="L234">
        <v>141</v>
      </c>
      <c r="M234">
        <v>129</v>
      </c>
      <c r="N234">
        <v>155.1</v>
      </c>
      <c r="O234">
        <v>145.6</v>
      </c>
      <c r="P234">
        <v>118.6</v>
      </c>
      <c r="Q234">
        <v>144.30000000000001</v>
      </c>
      <c r="R234">
        <v>131.69999999999999</v>
      </c>
      <c r="S234">
        <v>142.4</v>
      </c>
      <c r="T234">
        <v>137.4</v>
      </c>
      <c r="U234">
        <v>149.4</v>
      </c>
      <c r="V234">
        <v>130.5</v>
      </c>
      <c r="W234">
        <v>119.6</v>
      </c>
      <c r="X234">
        <v>134.30000000000001</v>
      </c>
      <c r="Y234">
        <v>133.69999999999999</v>
      </c>
      <c r="Z234">
        <v>140.30000000000001</v>
      </c>
      <c r="AA234">
        <v>148.9</v>
      </c>
      <c r="AB234">
        <v>166.7</v>
      </c>
      <c r="AC234">
        <v>133.6</v>
      </c>
      <c r="AD234">
        <v>142.1</v>
      </c>
    </row>
    <row r="235" spans="1:30" x14ac:dyDescent="0.35">
      <c r="A235" t="s">
        <v>33</v>
      </c>
      <c r="B235">
        <v>2019</v>
      </c>
      <c r="C235" t="s">
        <v>38</v>
      </c>
      <c r="D235">
        <v>138.69999999999999</v>
      </c>
      <c r="E235">
        <v>162.1</v>
      </c>
      <c r="F235">
        <v>137.80000000000001</v>
      </c>
      <c r="G235">
        <v>143.30000000000001</v>
      </c>
      <c r="H235">
        <v>146.80000000000001</v>
      </c>
      <c r="I235">
        <v>150.5</v>
      </c>
      <c r="J235">
        <v>128.30000000000001</v>
      </c>
      <c r="K235">
        <v>111</v>
      </c>
      <c r="L235">
        <v>140.6</v>
      </c>
      <c r="M235">
        <v>134.19999999999999</v>
      </c>
      <c r="N235">
        <v>155.9</v>
      </c>
      <c r="O235">
        <v>142.69999999999999</v>
      </c>
      <c r="P235">
        <v>122.2</v>
      </c>
      <c r="Q235">
        <v>148.6</v>
      </c>
      <c r="R235">
        <v>140.4</v>
      </c>
      <c r="S235">
        <v>147.4</v>
      </c>
      <c r="T235">
        <v>143.80000000000001</v>
      </c>
      <c r="U235">
        <v>149.4</v>
      </c>
      <c r="V235">
        <v>141.19999999999999</v>
      </c>
      <c r="W235">
        <v>124.6</v>
      </c>
      <c r="X235">
        <v>139.6</v>
      </c>
      <c r="Y235">
        <v>134.30000000000001</v>
      </c>
      <c r="Z235">
        <v>147.4</v>
      </c>
      <c r="AA235">
        <v>152.5</v>
      </c>
      <c r="AB235">
        <v>164.9</v>
      </c>
      <c r="AC235">
        <v>138.6</v>
      </c>
      <c r="AD235">
        <v>142.9</v>
      </c>
    </row>
    <row r="236" spans="1:30" x14ac:dyDescent="0.35">
      <c r="A236" t="s">
        <v>30</v>
      </c>
      <c r="B236">
        <v>2019</v>
      </c>
      <c r="C236" t="s">
        <v>39</v>
      </c>
      <c r="D236">
        <v>138.4</v>
      </c>
      <c r="E236">
        <v>164</v>
      </c>
      <c r="F236">
        <v>138.4</v>
      </c>
      <c r="G236">
        <v>143.9</v>
      </c>
      <c r="H236">
        <v>146.4</v>
      </c>
      <c r="I236">
        <v>150.1</v>
      </c>
      <c r="J236">
        <v>130.6</v>
      </c>
      <c r="K236">
        <v>110.8</v>
      </c>
      <c r="L236">
        <v>141.69999999999999</v>
      </c>
      <c r="M236">
        <v>138.5</v>
      </c>
      <c r="N236">
        <v>156.69999999999999</v>
      </c>
      <c r="O236">
        <v>143</v>
      </c>
      <c r="P236">
        <v>124.4</v>
      </c>
      <c r="Q236">
        <v>151.6</v>
      </c>
      <c r="R236">
        <v>146.6</v>
      </c>
      <c r="S236">
        <v>150.9</v>
      </c>
      <c r="T236">
        <v>150</v>
      </c>
      <c r="U236">
        <v>139.2551</v>
      </c>
      <c r="V236">
        <v>146.80000000000001</v>
      </c>
      <c r="W236">
        <v>131.19999999999999</v>
      </c>
      <c r="X236">
        <v>147.5</v>
      </c>
      <c r="Y236">
        <v>136.1</v>
      </c>
      <c r="Z236">
        <v>152.19999999999999</v>
      </c>
      <c r="AA236">
        <v>159.1</v>
      </c>
      <c r="AB236">
        <v>164.5</v>
      </c>
      <c r="AC236">
        <v>144.19999999999999</v>
      </c>
      <c r="AD236">
        <v>144.9</v>
      </c>
    </row>
    <row r="237" spans="1:30" x14ac:dyDescent="0.35">
      <c r="A237" t="s">
        <v>32</v>
      </c>
      <c r="B237">
        <v>2019</v>
      </c>
      <c r="C237" t="s">
        <v>39</v>
      </c>
      <c r="D237">
        <v>141.4</v>
      </c>
      <c r="E237">
        <v>160.19999999999999</v>
      </c>
      <c r="F237">
        <v>142.5</v>
      </c>
      <c r="G237">
        <v>144.1</v>
      </c>
      <c r="H237">
        <v>154.69999999999999</v>
      </c>
      <c r="I237">
        <v>180.1</v>
      </c>
      <c r="J237">
        <v>128.9</v>
      </c>
      <c r="K237">
        <v>111.8</v>
      </c>
      <c r="L237">
        <v>141.6</v>
      </c>
      <c r="M237">
        <v>129.5</v>
      </c>
      <c r="N237">
        <v>155.6</v>
      </c>
      <c r="O237">
        <v>147.69999999999999</v>
      </c>
      <c r="P237">
        <v>119.3</v>
      </c>
      <c r="Q237">
        <v>144.69999999999999</v>
      </c>
      <c r="R237">
        <v>131.9</v>
      </c>
      <c r="S237">
        <v>142.69999999999999</v>
      </c>
      <c r="T237">
        <v>137.69999999999999</v>
      </c>
      <c r="U237">
        <v>150.6</v>
      </c>
      <c r="V237">
        <v>127</v>
      </c>
      <c r="W237">
        <v>120.6</v>
      </c>
      <c r="X237">
        <v>135</v>
      </c>
      <c r="Y237">
        <v>135.1</v>
      </c>
      <c r="Z237">
        <v>140.80000000000001</v>
      </c>
      <c r="AA237">
        <v>150.4</v>
      </c>
      <c r="AB237">
        <v>167.2</v>
      </c>
      <c r="AC237">
        <v>134.5</v>
      </c>
      <c r="AD237">
        <v>143.30000000000001</v>
      </c>
    </row>
    <row r="238" spans="1:30" x14ac:dyDescent="0.35">
      <c r="A238" t="s">
        <v>33</v>
      </c>
      <c r="B238">
        <v>2019</v>
      </c>
      <c r="C238" t="s">
        <v>39</v>
      </c>
      <c r="D238">
        <v>139.30000000000001</v>
      </c>
      <c r="E238">
        <v>162.69999999999999</v>
      </c>
      <c r="F238">
        <v>140</v>
      </c>
      <c r="G238">
        <v>144</v>
      </c>
      <c r="H238">
        <v>150.30000000000001</v>
      </c>
      <c r="I238">
        <v>160.30000000000001</v>
      </c>
      <c r="J238">
        <v>130</v>
      </c>
      <c r="K238">
        <v>111.1</v>
      </c>
      <c r="L238">
        <v>141.69999999999999</v>
      </c>
      <c r="M238">
        <v>134.69999999999999</v>
      </c>
      <c r="N238">
        <v>156.19999999999999</v>
      </c>
      <c r="O238">
        <v>144.69999999999999</v>
      </c>
      <c r="P238">
        <v>122.5</v>
      </c>
      <c r="Q238">
        <v>148.9</v>
      </c>
      <c r="R238">
        <v>140.5</v>
      </c>
      <c r="S238">
        <v>147.6</v>
      </c>
      <c r="T238">
        <v>144.19999999999999</v>
      </c>
      <c r="U238">
        <v>150.6</v>
      </c>
      <c r="V238">
        <v>139.30000000000001</v>
      </c>
      <c r="W238">
        <v>125.6</v>
      </c>
      <c r="X238">
        <v>140.5</v>
      </c>
      <c r="Y238">
        <v>135.69999999999999</v>
      </c>
      <c r="Z238">
        <v>147.9</v>
      </c>
      <c r="AA238">
        <v>154</v>
      </c>
      <c r="AB238">
        <v>165.2</v>
      </c>
      <c r="AC238">
        <v>139.5</v>
      </c>
      <c r="AD238">
        <v>144.19999999999999</v>
      </c>
    </row>
    <row r="239" spans="1:30" x14ac:dyDescent="0.35">
      <c r="A239" t="s">
        <v>30</v>
      </c>
      <c r="B239">
        <v>2019</v>
      </c>
      <c r="C239" t="s">
        <v>40</v>
      </c>
      <c r="D239">
        <v>139.19999999999999</v>
      </c>
      <c r="E239">
        <v>161.9</v>
      </c>
      <c r="F239">
        <v>137.1</v>
      </c>
      <c r="G239">
        <v>144.6</v>
      </c>
      <c r="H239">
        <v>145.5</v>
      </c>
      <c r="I239">
        <v>156.19999999999999</v>
      </c>
      <c r="J239">
        <v>131.5</v>
      </c>
      <c r="K239">
        <v>111.7</v>
      </c>
      <c r="L239">
        <v>142.69999999999999</v>
      </c>
      <c r="M239">
        <v>138.5</v>
      </c>
      <c r="N239">
        <v>156.9</v>
      </c>
      <c r="O239">
        <v>144</v>
      </c>
      <c r="P239">
        <v>124.7</v>
      </c>
      <c r="Q239">
        <v>151.80000000000001</v>
      </c>
      <c r="R239">
        <v>146.6</v>
      </c>
      <c r="S239">
        <v>151.1</v>
      </c>
      <c r="T239">
        <v>150.19999999999999</v>
      </c>
      <c r="U239">
        <v>139.2551</v>
      </c>
      <c r="V239">
        <v>146.4</v>
      </c>
      <c r="W239">
        <v>131.4</v>
      </c>
      <c r="X239">
        <v>148</v>
      </c>
      <c r="Y239">
        <v>138.80000000000001</v>
      </c>
      <c r="Z239">
        <v>152.69999999999999</v>
      </c>
      <c r="AA239">
        <v>159.69999999999999</v>
      </c>
      <c r="AB239">
        <v>165.1</v>
      </c>
      <c r="AC239">
        <v>144.9</v>
      </c>
      <c r="AD239">
        <v>145.69999999999999</v>
      </c>
    </row>
    <row r="240" spans="1:30" x14ac:dyDescent="0.35">
      <c r="A240" t="s">
        <v>32</v>
      </c>
      <c r="B240">
        <v>2019</v>
      </c>
      <c r="C240" t="s">
        <v>40</v>
      </c>
      <c r="D240">
        <v>142.1</v>
      </c>
      <c r="E240">
        <v>158.30000000000001</v>
      </c>
      <c r="F240">
        <v>140.80000000000001</v>
      </c>
      <c r="G240">
        <v>144.9</v>
      </c>
      <c r="H240">
        <v>153.9</v>
      </c>
      <c r="I240">
        <v>189.1</v>
      </c>
      <c r="J240">
        <v>129.80000000000001</v>
      </c>
      <c r="K240">
        <v>112.7</v>
      </c>
      <c r="L240">
        <v>142.5</v>
      </c>
      <c r="M240">
        <v>129.80000000000001</v>
      </c>
      <c r="N240">
        <v>156.19999999999999</v>
      </c>
      <c r="O240">
        <v>149.1</v>
      </c>
      <c r="P240">
        <v>119.9</v>
      </c>
      <c r="Q240">
        <v>145</v>
      </c>
      <c r="R240">
        <v>132.19999999999999</v>
      </c>
      <c r="S240">
        <v>143</v>
      </c>
      <c r="T240">
        <v>138.1</v>
      </c>
      <c r="U240">
        <v>151.6</v>
      </c>
      <c r="V240">
        <v>125.5</v>
      </c>
      <c r="W240">
        <v>120.8</v>
      </c>
      <c r="X240">
        <v>135.4</v>
      </c>
      <c r="Y240">
        <v>137.80000000000001</v>
      </c>
      <c r="Z240">
        <v>141.5</v>
      </c>
      <c r="AA240">
        <v>151.5</v>
      </c>
      <c r="AB240">
        <v>167.9</v>
      </c>
      <c r="AC240">
        <v>135.30000000000001</v>
      </c>
      <c r="AD240">
        <v>144.19999999999999</v>
      </c>
    </row>
    <row r="241" spans="1:30" x14ac:dyDescent="0.35">
      <c r="A241" t="s">
        <v>33</v>
      </c>
      <c r="B241">
        <v>2019</v>
      </c>
      <c r="C241" t="s">
        <v>40</v>
      </c>
      <c r="D241">
        <v>140.1</v>
      </c>
      <c r="E241">
        <v>160.6</v>
      </c>
      <c r="F241">
        <v>138.5</v>
      </c>
      <c r="G241">
        <v>144.69999999999999</v>
      </c>
      <c r="H241">
        <v>149.4</v>
      </c>
      <c r="I241">
        <v>167.4</v>
      </c>
      <c r="J241">
        <v>130.9</v>
      </c>
      <c r="K241">
        <v>112</v>
      </c>
      <c r="L241">
        <v>142.6</v>
      </c>
      <c r="M241">
        <v>134.9</v>
      </c>
      <c r="N241">
        <v>156.6</v>
      </c>
      <c r="O241">
        <v>145.9</v>
      </c>
      <c r="P241">
        <v>122.9</v>
      </c>
      <c r="Q241">
        <v>149.1</v>
      </c>
      <c r="R241">
        <v>140.6</v>
      </c>
      <c r="S241">
        <v>147.9</v>
      </c>
      <c r="T241">
        <v>144.5</v>
      </c>
      <c r="U241">
        <v>151.6</v>
      </c>
      <c r="V241">
        <v>138.5</v>
      </c>
      <c r="W241">
        <v>125.8</v>
      </c>
      <c r="X241">
        <v>140.9</v>
      </c>
      <c r="Y241">
        <v>138.4</v>
      </c>
      <c r="Z241">
        <v>148.5</v>
      </c>
      <c r="AA241">
        <v>154.9</v>
      </c>
      <c r="AB241">
        <v>165.8</v>
      </c>
      <c r="AC241">
        <v>140.19999999999999</v>
      </c>
      <c r="AD241">
        <v>145</v>
      </c>
    </row>
    <row r="242" spans="1:30" x14ac:dyDescent="0.35">
      <c r="A242" t="s">
        <v>30</v>
      </c>
      <c r="B242">
        <v>2019</v>
      </c>
      <c r="C242" t="s">
        <v>41</v>
      </c>
      <c r="D242">
        <v>140.1</v>
      </c>
      <c r="E242">
        <v>161.9</v>
      </c>
      <c r="F242">
        <v>138.30000000000001</v>
      </c>
      <c r="G242">
        <v>145.69999999999999</v>
      </c>
      <c r="H242">
        <v>143.80000000000001</v>
      </c>
      <c r="I242">
        <v>163.4</v>
      </c>
      <c r="J242">
        <v>132.19999999999999</v>
      </c>
      <c r="K242">
        <v>112.8</v>
      </c>
      <c r="L242">
        <v>144.19999999999999</v>
      </c>
      <c r="M242">
        <v>138.5</v>
      </c>
      <c r="N242">
        <v>157.19999999999999</v>
      </c>
      <c r="O242">
        <v>145.5</v>
      </c>
      <c r="P242">
        <v>125.1</v>
      </c>
      <c r="Q242">
        <v>151.69999999999999</v>
      </c>
      <c r="R242">
        <v>146.6</v>
      </c>
      <c r="S242">
        <v>151</v>
      </c>
      <c r="T242">
        <v>150.30000000000001</v>
      </c>
      <c r="U242">
        <v>139.2551</v>
      </c>
      <c r="V242">
        <v>146.9</v>
      </c>
      <c r="W242">
        <v>131.6</v>
      </c>
      <c r="X242">
        <v>148.30000000000001</v>
      </c>
      <c r="Y242">
        <v>140.19999999999999</v>
      </c>
      <c r="Z242">
        <v>153.4</v>
      </c>
      <c r="AA242">
        <v>160.19999999999999</v>
      </c>
      <c r="AB242">
        <v>165.7</v>
      </c>
      <c r="AC242">
        <v>145.4</v>
      </c>
      <c r="AD242">
        <v>146.69999999999999</v>
      </c>
    </row>
    <row r="243" spans="1:30" x14ac:dyDescent="0.35">
      <c r="A243" t="s">
        <v>32</v>
      </c>
      <c r="B243">
        <v>2019</v>
      </c>
      <c r="C243" t="s">
        <v>41</v>
      </c>
      <c r="D243">
        <v>142.69999999999999</v>
      </c>
      <c r="E243">
        <v>158.69999999999999</v>
      </c>
      <c r="F243">
        <v>141.6</v>
      </c>
      <c r="G243">
        <v>144.9</v>
      </c>
      <c r="H243">
        <v>149.80000000000001</v>
      </c>
      <c r="I243">
        <v>192.4</v>
      </c>
      <c r="J243">
        <v>130.30000000000001</v>
      </c>
      <c r="K243">
        <v>114</v>
      </c>
      <c r="L243">
        <v>143.80000000000001</v>
      </c>
      <c r="M243">
        <v>130</v>
      </c>
      <c r="N243">
        <v>156.4</v>
      </c>
      <c r="O243">
        <v>149.5</v>
      </c>
      <c r="P243">
        <v>120.8</v>
      </c>
      <c r="Q243">
        <v>145.30000000000001</v>
      </c>
      <c r="R243">
        <v>132.19999999999999</v>
      </c>
      <c r="S243">
        <v>143.30000000000001</v>
      </c>
      <c r="T243">
        <v>138.30000000000001</v>
      </c>
      <c r="U243">
        <v>152.19999999999999</v>
      </c>
      <c r="V243">
        <v>126.6</v>
      </c>
      <c r="W243">
        <v>121.2</v>
      </c>
      <c r="X243">
        <v>135.9</v>
      </c>
      <c r="Y243">
        <v>139</v>
      </c>
      <c r="Z243">
        <v>141.9</v>
      </c>
      <c r="AA243">
        <v>151.6</v>
      </c>
      <c r="AB243">
        <v>168.6</v>
      </c>
      <c r="AC243">
        <v>135.69999999999999</v>
      </c>
      <c r="AD243">
        <v>144.69999999999999</v>
      </c>
    </row>
    <row r="244" spans="1:30" x14ac:dyDescent="0.35">
      <c r="A244" t="s">
        <v>33</v>
      </c>
      <c r="B244">
        <v>2019</v>
      </c>
      <c r="C244" t="s">
        <v>41</v>
      </c>
      <c r="D244">
        <v>140.9</v>
      </c>
      <c r="E244">
        <v>160.80000000000001</v>
      </c>
      <c r="F244">
        <v>139.6</v>
      </c>
      <c r="G244">
        <v>145.4</v>
      </c>
      <c r="H244">
        <v>146.6</v>
      </c>
      <c r="I244">
        <v>173.2</v>
      </c>
      <c r="J244">
        <v>131.6</v>
      </c>
      <c r="K244">
        <v>113.2</v>
      </c>
      <c r="L244">
        <v>144.1</v>
      </c>
      <c r="M244">
        <v>135</v>
      </c>
      <c r="N244">
        <v>156.80000000000001</v>
      </c>
      <c r="O244">
        <v>147</v>
      </c>
      <c r="P244">
        <v>123.5</v>
      </c>
      <c r="Q244">
        <v>149.19999999999999</v>
      </c>
      <c r="R244">
        <v>140.6</v>
      </c>
      <c r="S244">
        <v>147.9</v>
      </c>
      <c r="T244">
        <v>144.6</v>
      </c>
      <c r="U244">
        <v>152.19999999999999</v>
      </c>
      <c r="V244">
        <v>139.19999999999999</v>
      </c>
      <c r="W244">
        <v>126.1</v>
      </c>
      <c r="X244">
        <v>141.30000000000001</v>
      </c>
      <c r="Y244">
        <v>139.69999999999999</v>
      </c>
      <c r="Z244">
        <v>149</v>
      </c>
      <c r="AA244">
        <v>155.19999999999999</v>
      </c>
      <c r="AB244">
        <v>166.5</v>
      </c>
      <c r="AC244">
        <v>140.69999999999999</v>
      </c>
      <c r="AD244">
        <v>145.80000000000001</v>
      </c>
    </row>
    <row r="245" spans="1:30" x14ac:dyDescent="0.35">
      <c r="A245" t="s">
        <v>30</v>
      </c>
      <c r="B245">
        <v>2019</v>
      </c>
      <c r="C245" t="s">
        <v>42</v>
      </c>
      <c r="D245">
        <v>141</v>
      </c>
      <c r="E245">
        <v>161.6</v>
      </c>
      <c r="F245">
        <v>141.19999999999999</v>
      </c>
      <c r="G245">
        <v>146.5</v>
      </c>
      <c r="H245">
        <v>145.69999999999999</v>
      </c>
      <c r="I245">
        <v>178.8</v>
      </c>
      <c r="J245">
        <v>133.1</v>
      </c>
      <c r="K245">
        <v>113.6</v>
      </c>
      <c r="L245">
        <v>145.5</v>
      </c>
      <c r="M245">
        <v>138.6</v>
      </c>
      <c r="N245">
        <v>157.4</v>
      </c>
      <c r="O245">
        <v>148.30000000000001</v>
      </c>
      <c r="P245">
        <v>125.6</v>
      </c>
      <c r="Q245">
        <v>151.69999999999999</v>
      </c>
      <c r="R245">
        <v>146.69999999999999</v>
      </c>
      <c r="S245">
        <v>151</v>
      </c>
      <c r="T245">
        <v>150.6</v>
      </c>
      <c r="U245">
        <v>139.2551</v>
      </c>
      <c r="V245">
        <v>147.69999999999999</v>
      </c>
      <c r="W245">
        <v>131.69999999999999</v>
      </c>
      <c r="X245">
        <v>148.69999999999999</v>
      </c>
      <c r="Y245">
        <v>140.30000000000001</v>
      </c>
      <c r="Z245">
        <v>153.69999999999999</v>
      </c>
      <c r="AA245">
        <v>160.69999999999999</v>
      </c>
      <c r="AB245">
        <v>166.3</v>
      </c>
      <c r="AC245">
        <v>145.69999999999999</v>
      </c>
      <c r="AD245">
        <v>148.30000000000001</v>
      </c>
    </row>
    <row r="246" spans="1:30" x14ac:dyDescent="0.35">
      <c r="A246" t="s">
        <v>32</v>
      </c>
      <c r="B246">
        <v>2019</v>
      </c>
      <c r="C246" t="s">
        <v>42</v>
      </c>
      <c r="D246">
        <v>143.5</v>
      </c>
      <c r="E246">
        <v>159.80000000000001</v>
      </c>
      <c r="F246">
        <v>144.69999999999999</v>
      </c>
      <c r="G246">
        <v>145.6</v>
      </c>
      <c r="H246">
        <v>150.6</v>
      </c>
      <c r="I246">
        <v>207.2</v>
      </c>
      <c r="J246">
        <v>131.19999999999999</v>
      </c>
      <c r="K246">
        <v>114.8</v>
      </c>
      <c r="L246">
        <v>145.19999999999999</v>
      </c>
      <c r="M246">
        <v>130.19999999999999</v>
      </c>
      <c r="N246">
        <v>156.80000000000001</v>
      </c>
      <c r="O246">
        <v>151.9</v>
      </c>
      <c r="P246">
        <v>121.1</v>
      </c>
      <c r="Q246">
        <v>145.9</v>
      </c>
      <c r="R246">
        <v>132.4</v>
      </c>
      <c r="S246">
        <v>143.9</v>
      </c>
      <c r="T246">
        <v>138.69999999999999</v>
      </c>
      <c r="U246">
        <v>153</v>
      </c>
      <c r="V246">
        <v>128.9</v>
      </c>
      <c r="W246">
        <v>121.5</v>
      </c>
      <c r="X246">
        <v>136.19999999999999</v>
      </c>
      <c r="Y246">
        <v>139.5</v>
      </c>
      <c r="Z246">
        <v>142.4</v>
      </c>
      <c r="AA246">
        <v>151.69999999999999</v>
      </c>
      <c r="AB246">
        <v>169.3</v>
      </c>
      <c r="AC246">
        <v>136</v>
      </c>
      <c r="AD246">
        <v>146</v>
      </c>
    </row>
    <row r="247" spans="1:30" x14ac:dyDescent="0.35">
      <c r="A247" t="s">
        <v>33</v>
      </c>
      <c r="B247">
        <v>2019</v>
      </c>
      <c r="C247" t="s">
        <v>42</v>
      </c>
      <c r="D247">
        <v>141.80000000000001</v>
      </c>
      <c r="E247">
        <v>161</v>
      </c>
      <c r="F247">
        <v>142.6</v>
      </c>
      <c r="G247">
        <v>146.19999999999999</v>
      </c>
      <c r="H247">
        <v>148</v>
      </c>
      <c r="I247">
        <v>188.4</v>
      </c>
      <c r="J247">
        <v>132.5</v>
      </c>
      <c r="K247">
        <v>114</v>
      </c>
      <c r="L247">
        <v>145.4</v>
      </c>
      <c r="M247">
        <v>135.1</v>
      </c>
      <c r="N247">
        <v>157.1</v>
      </c>
      <c r="O247">
        <v>149.6</v>
      </c>
      <c r="P247">
        <v>123.9</v>
      </c>
      <c r="Q247">
        <v>149.4</v>
      </c>
      <c r="R247">
        <v>140.80000000000001</v>
      </c>
      <c r="S247">
        <v>148.19999999999999</v>
      </c>
      <c r="T247">
        <v>145</v>
      </c>
      <c r="U247">
        <v>153</v>
      </c>
      <c r="V247">
        <v>140.6</v>
      </c>
      <c r="W247">
        <v>126.3</v>
      </c>
      <c r="X247">
        <v>141.69999999999999</v>
      </c>
      <c r="Y247">
        <v>140</v>
      </c>
      <c r="Z247">
        <v>149.4</v>
      </c>
      <c r="AA247">
        <v>155.4</v>
      </c>
      <c r="AB247">
        <v>167.1</v>
      </c>
      <c r="AC247">
        <v>141</v>
      </c>
      <c r="AD247">
        <v>147.19999999999999</v>
      </c>
    </row>
    <row r="248" spans="1:30" x14ac:dyDescent="0.35">
      <c r="A248" t="s">
        <v>30</v>
      </c>
      <c r="B248">
        <v>2019</v>
      </c>
      <c r="C248" t="s">
        <v>44</v>
      </c>
      <c r="D248">
        <v>141.80000000000001</v>
      </c>
      <c r="E248">
        <v>163.69999999999999</v>
      </c>
      <c r="F248">
        <v>143.80000000000001</v>
      </c>
      <c r="G248">
        <v>147.1</v>
      </c>
      <c r="H248">
        <v>146.19999999999999</v>
      </c>
      <c r="I248">
        <v>191.4</v>
      </c>
      <c r="J248">
        <v>136.19999999999999</v>
      </c>
      <c r="K248">
        <v>113.8</v>
      </c>
      <c r="L248">
        <v>147.30000000000001</v>
      </c>
      <c r="M248">
        <v>138.69999999999999</v>
      </c>
      <c r="N248">
        <v>157.69999999999999</v>
      </c>
      <c r="O248">
        <v>150.9</v>
      </c>
      <c r="P248">
        <v>126</v>
      </c>
      <c r="Q248">
        <v>152.30000000000001</v>
      </c>
      <c r="R248">
        <v>147</v>
      </c>
      <c r="S248">
        <v>151.5</v>
      </c>
      <c r="T248">
        <v>150.9</v>
      </c>
      <c r="U248">
        <v>139.2551</v>
      </c>
      <c r="V248">
        <v>148.4</v>
      </c>
      <c r="W248">
        <v>132.1</v>
      </c>
      <c r="X248">
        <v>149.1</v>
      </c>
      <c r="Y248">
        <v>140.6</v>
      </c>
      <c r="Z248">
        <v>154.30000000000001</v>
      </c>
      <c r="AA248">
        <v>160.80000000000001</v>
      </c>
      <c r="AB248">
        <v>167.2</v>
      </c>
      <c r="AC248">
        <v>146.1</v>
      </c>
      <c r="AD248">
        <v>149.9</v>
      </c>
    </row>
    <row r="249" spans="1:30" x14ac:dyDescent="0.35">
      <c r="A249" t="s">
        <v>32</v>
      </c>
      <c r="B249">
        <v>2019</v>
      </c>
      <c r="C249" t="s">
        <v>44</v>
      </c>
      <c r="D249">
        <v>144.1</v>
      </c>
      <c r="E249">
        <v>162.4</v>
      </c>
      <c r="F249">
        <v>148.4</v>
      </c>
      <c r="G249">
        <v>145.9</v>
      </c>
      <c r="H249">
        <v>148.80000000000001</v>
      </c>
      <c r="I249">
        <v>215.7</v>
      </c>
      <c r="J249">
        <v>134.6</v>
      </c>
      <c r="K249">
        <v>115</v>
      </c>
      <c r="L249">
        <v>146.30000000000001</v>
      </c>
      <c r="M249">
        <v>130.5</v>
      </c>
      <c r="N249">
        <v>157.19999999999999</v>
      </c>
      <c r="O249">
        <v>153.6</v>
      </c>
      <c r="P249">
        <v>121.5</v>
      </c>
      <c r="Q249">
        <v>146.30000000000001</v>
      </c>
      <c r="R249">
        <v>132.6</v>
      </c>
      <c r="S249">
        <v>144.19999999999999</v>
      </c>
      <c r="T249">
        <v>139.1</v>
      </c>
      <c r="U249">
        <v>153.5</v>
      </c>
      <c r="V249">
        <v>132.19999999999999</v>
      </c>
      <c r="W249">
        <v>121.7</v>
      </c>
      <c r="X249">
        <v>136.69999999999999</v>
      </c>
      <c r="Y249">
        <v>139.80000000000001</v>
      </c>
      <c r="Z249">
        <v>142.80000000000001</v>
      </c>
      <c r="AA249">
        <v>151.80000000000001</v>
      </c>
      <c r="AB249">
        <v>169.9</v>
      </c>
      <c r="AC249">
        <v>136.30000000000001</v>
      </c>
      <c r="AD249">
        <v>147</v>
      </c>
    </row>
    <row r="250" spans="1:30" x14ac:dyDescent="0.35">
      <c r="A250" t="s">
        <v>33</v>
      </c>
      <c r="B250">
        <v>2019</v>
      </c>
      <c r="C250" t="s">
        <v>44</v>
      </c>
      <c r="D250">
        <v>142.5</v>
      </c>
      <c r="E250">
        <v>163.19999999999999</v>
      </c>
      <c r="F250">
        <v>145.6</v>
      </c>
      <c r="G250">
        <v>146.69999999999999</v>
      </c>
      <c r="H250">
        <v>147.4</v>
      </c>
      <c r="I250">
        <v>199.6</v>
      </c>
      <c r="J250">
        <v>135.69999999999999</v>
      </c>
      <c r="K250">
        <v>114.2</v>
      </c>
      <c r="L250">
        <v>147</v>
      </c>
      <c r="M250">
        <v>135.30000000000001</v>
      </c>
      <c r="N250">
        <v>157.5</v>
      </c>
      <c r="O250">
        <v>151.9</v>
      </c>
      <c r="P250">
        <v>124.3</v>
      </c>
      <c r="Q250">
        <v>149.9</v>
      </c>
      <c r="R250">
        <v>141</v>
      </c>
      <c r="S250">
        <v>148.6</v>
      </c>
      <c r="T250">
        <v>145.30000000000001</v>
      </c>
      <c r="U250">
        <v>153.5</v>
      </c>
      <c r="V250">
        <v>142.30000000000001</v>
      </c>
      <c r="W250">
        <v>126.6</v>
      </c>
      <c r="X250">
        <v>142.1</v>
      </c>
      <c r="Y250">
        <v>140.30000000000001</v>
      </c>
      <c r="Z250">
        <v>149.9</v>
      </c>
      <c r="AA250">
        <v>155.5</v>
      </c>
      <c r="AB250">
        <v>167.9</v>
      </c>
      <c r="AC250">
        <v>141.30000000000001</v>
      </c>
      <c r="AD250">
        <v>148.6</v>
      </c>
    </row>
    <row r="251" spans="1:30" x14ac:dyDescent="0.35">
      <c r="A251" t="s">
        <v>30</v>
      </c>
      <c r="B251">
        <v>2019</v>
      </c>
      <c r="C251" t="s">
        <v>45</v>
      </c>
      <c r="D251">
        <v>142.80000000000001</v>
      </c>
      <c r="E251">
        <v>165.3</v>
      </c>
      <c r="F251">
        <v>149.5</v>
      </c>
      <c r="G251">
        <v>148.69999999999999</v>
      </c>
      <c r="H251">
        <v>144.30000000000001</v>
      </c>
      <c r="I251">
        <v>209.5</v>
      </c>
      <c r="J251">
        <v>138.80000000000001</v>
      </c>
      <c r="K251">
        <v>113.6</v>
      </c>
      <c r="L251">
        <v>149.1</v>
      </c>
      <c r="M251">
        <v>139.30000000000001</v>
      </c>
      <c r="N251">
        <v>158.30000000000001</v>
      </c>
      <c r="O251">
        <v>154.30000000000001</v>
      </c>
      <c r="P251">
        <v>127.5</v>
      </c>
      <c r="Q251">
        <v>152.6</v>
      </c>
      <c r="R251">
        <v>147.30000000000001</v>
      </c>
      <c r="S251">
        <v>151.9</v>
      </c>
      <c r="T251">
        <v>151.19999999999999</v>
      </c>
      <c r="U251">
        <v>139.2551</v>
      </c>
      <c r="V251">
        <v>149.9</v>
      </c>
      <c r="W251">
        <v>135</v>
      </c>
      <c r="X251">
        <v>149.5</v>
      </c>
      <c r="Y251">
        <v>140.6</v>
      </c>
      <c r="Z251">
        <v>154.80000000000001</v>
      </c>
      <c r="AA251">
        <v>161.1</v>
      </c>
      <c r="AB251">
        <v>167.8</v>
      </c>
      <c r="AC251">
        <v>147.1</v>
      </c>
      <c r="AD251">
        <v>152.30000000000001</v>
      </c>
    </row>
    <row r="252" spans="1:30" x14ac:dyDescent="0.35">
      <c r="A252" t="s">
        <v>32</v>
      </c>
      <c r="B252">
        <v>2019</v>
      </c>
      <c r="C252" t="s">
        <v>45</v>
      </c>
      <c r="D252">
        <v>144.9</v>
      </c>
      <c r="E252">
        <v>164.5</v>
      </c>
      <c r="F252">
        <v>153.69999999999999</v>
      </c>
      <c r="G252">
        <v>147.5</v>
      </c>
      <c r="H252">
        <v>147.19999999999999</v>
      </c>
      <c r="I252">
        <v>231.5</v>
      </c>
      <c r="J252">
        <v>137.19999999999999</v>
      </c>
      <c r="K252">
        <v>114.7</v>
      </c>
      <c r="L252">
        <v>148</v>
      </c>
      <c r="M252">
        <v>130.80000000000001</v>
      </c>
      <c r="N252">
        <v>157.69999999999999</v>
      </c>
      <c r="O252">
        <v>156.30000000000001</v>
      </c>
      <c r="P252">
        <v>122.7</v>
      </c>
      <c r="Q252">
        <v>146.80000000000001</v>
      </c>
      <c r="R252">
        <v>132.80000000000001</v>
      </c>
      <c r="S252">
        <v>144.6</v>
      </c>
      <c r="T252">
        <v>139.80000000000001</v>
      </c>
      <c r="U252">
        <v>152.80000000000001</v>
      </c>
      <c r="V252">
        <v>133.6</v>
      </c>
      <c r="W252">
        <v>125.2</v>
      </c>
      <c r="X252">
        <v>136.80000000000001</v>
      </c>
      <c r="Y252">
        <v>140.19999999999999</v>
      </c>
      <c r="Z252">
        <v>143.19999999999999</v>
      </c>
      <c r="AA252">
        <v>151.9</v>
      </c>
      <c r="AB252">
        <v>170.4</v>
      </c>
      <c r="AC252">
        <v>137.69999999999999</v>
      </c>
      <c r="AD252">
        <v>148.30000000000001</v>
      </c>
    </row>
    <row r="253" spans="1:30" x14ac:dyDescent="0.35">
      <c r="A253" t="s">
        <v>33</v>
      </c>
      <c r="B253">
        <v>2019</v>
      </c>
      <c r="C253" t="s">
        <v>45</v>
      </c>
      <c r="D253">
        <v>143.5</v>
      </c>
      <c r="E253">
        <v>165</v>
      </c>
      <c r="F253">
        <v>151.1</v>
      </c>
      <c r="G253">
        <v>148.30000000000001</v>
      </c>
      <c r="H253">
        <v>145.69999999999999</v>
      </c>
      <c r="I253">
        <v>217</v>
      </c>
      <c r="J253">
        <v>138.30000000000001</v>
      </c>
      <c r="K253">
        <v>114</v>
      </c>
      <c r="L253">
        <v>148.69999999999999</v>
      </c>
      <c r="M253">
        <v>135.80000000000001</v>
      </c>
      <c r="N253">
        <v>158</v>
      </c>
      <c r="O253">
        <v>155</v>
      </c>
      <c r="P253">
        <v>125.7</v>
      </c>
      <c r="Q253">
        <v>150.30000000000001</v>
      </c>
      <c r="R253">
        <v>141.30000000000001</v>
      </c>
      <c r="S253">
        <v>149</v>
      </c>
      <c r="T253">
        <v>145.80000000000001</v>
      </c>
      <c r="U253">
        <v>152.80000000000001</v>
      </c>
      <c r="V253">
        <v>143.69999999999999</v>
      </c>
      <c r="W253">
        <v>129.80000000000001</v>
      </c>
      <c r="X253">
        <v>142.30000000000001</v>
      </c>
      <c r="Y253">
        <v>140.4</v>
      </c>
      <c r="Z253">
        <v>150.4</v>
      </c>
      <c r="AA253">
        <v>155.69999999999999</v>
      </c>
      <c r="AB253">
        <v>168.5</v>
      </c>
      <c r="AC253">
        <v>142.5</v>
      </c>
      <c r="AD253">
        <v>150.4</v>
      </c>
    </row>
    <row r="254" spans="1:30" x14ac:dyDescent="0.35">
      <c r="A254" t="s">
        <v>30</v>
      </c>
      <c r="B254">
        <v>2020</v>
      </c>
      <c r="C254" t="s">
        <v>31</v>
      </c>
      <c r="D254">
        <v>143.69999999999999</v>
      </c>
      <c r="E254">
        <v>167.3</v>
      </c>
      <c r="F254">
        <v>153.5</v>
      </c>
      <c r="G254">
        <v>150.5</v>
      </c>
      <c r="H254">
        <v>142.19999999999999</v>
      </c>
      <c r="I254">
        <v>191.5</v>
      </c>
      <c r="J254">
        <v>141.1</v>
      </c>
      <c r="K254">
        <v>113.8</v>
      </c>
      <c r="L254">
        <v>151.6</v>
      </c>
      <c r="M254">
        <v>139.69999999999999</v>
      </c>
      <c r="N254">
        <v>158.69999999999999</v>
      </c>
      <c r="O254">
        <v>153</v>
      </c>
      <c r="P254">
        <v>132</v>
      </c>
      <c r="Q254">
        <v>152.80000000000001</v>
      </c>
      <c r="R254">
        <v>147.4</v>
      </c>
      <c r="S254">
        <v>152.1</v>
      </c>
      <c r="T254">
        <v>151.69999999999999</v>
      </c>
      <c r="U254">
        <v>139.2551</v>
      </c>
      <c r="V254">
        <v>150.4</v>
      </c>
      <c r="W254">
        <v>136.30000000000001</v>
      </c>
      <c r="X254">
        <v>150.1</v>
      </c>
      <c r="Y254">
        <v>142.5</v>
      </c>
      <c r="Z254">
        <v>155.69999999999999</v>
      </c>
      <c r="AA254">
        <v>161.69999999999999</v>
      </c>
      <c r="AB254">
        <v>168.6</v>
      </c>
      <c r="AC254">
        <v>148.1</v>
      </c>
      <c r="AD254">
        <v>151.9</v>
      </c>
    </row>
    <row r="255" spans="1:30" x14ac:dyDescent="0.35">
      <c r="A255" t="s">
        <v>32</v>
      </c>
      <c r="B255">
        <v>2020</v>
      </c>
      <c r="C255" t="s">
        <v>31</v>
      </c>
      <c r="D255">
        <v>145.6</v>
      </c>
      <c r="E255">
        <v>167.6</v>
      </c>
      <c r="F255">
        <v>157</v>
      </c>
      <c r="G255">
        <v>149.30000000000001</v>
      </c>
      <c r="H255">
        <v>144.4</v>
      </c>
      <c r="I255">
        <v>207.8</v>
      </c>
      <c r="J255">
        <v>139.1</v>
      </c>
      <c r="K255">
        <v>114.8</v>
      </c>
      <c r="L255">
        <v>149.5</v>
      </c>
      <c r="M255">
        <v>131.1</v>
      </c>
      <c r="N255">
        <v>158.5</v>
      </c>
      <c r="O255">
        <v>154.4</v>
      </c>
      <c r="P255">
        <v>126.3</v>
      </c>
      <c r="Q255">
        <v>147</v>
      </c>
      <c r="R255">
        <v>133.19999999999999</v>
      </c>
      <c r="S255">
        <v>144.9</v>
      </c>
      <c r="T255">
        <v>140.1</v>
      </c>
      <c r="U255">
        <v>153.9</v>
      </c>
      <c r="V255">
        <v>135.1</v>
      </c>
      <c r="W255">
        <v>126.1</v>
      </c>
      <c r="X255">
        <v>137.19999999999999</v>
      </c>
      <c r="Y255">
        <v>142.1</v>
      </c>
      <c r="Z255">
        <v>143.80000000000001</v>
      </c>
      <c r="AA255">
        <v>152.1</v>
      </c>
      <c r="AB255">
        <v>170.8</v>
      </c>
      <c r="AC255">
        <v>138.4</v>
      </c>
      <c r="AD255">
        <v>148.19999999999999</v>
      </c>
    </row>
    <row r="256" spans="1:30" x14ac:dyDescent="0.35">
      <c r="A256" t="s">
        <v>33</v>
      </c>
      <c r="B256">
        <v>2020</v>
      </c>
      <c r="C256" t="s">
        <v>31</v>
      </c>
      <c r="D256">
        <v>144.30000000000001</v>
      </c>
      <c r="E256">
        <v>167.4</v>
      </c>
      <c r="F256">
        <v>154.9</v>
      </c>
      <c r="G256">
        <v>150.1</v>
      </c>
      <c r="H256">
        <v>143.19999999999999</v>
      </c>
      <c r="I256">
        <v>197</v>
      </c>
      <c r="J256">
        <v>140.4</v>
      </c>
      <c r="K256">
        <v>114.1</v>
      </c>
      <c r="L256">
        <v>150.9</v>
      </c>
      <c r="M256">
        <v>136.1</v>
      </c>
      <c r="N256">
        <v>158.6</v>
      </c>
      <c r="O256">
        <v>153.5</v>
      </c>
      <c r="P256">
        <v>129.9</v>
      </c>
      <c r="Q256">
        <v>150.5</v>
      </c>
      <c r="R256">
        <v>141.5</v>
      </c>
      <c r="S256">
        <v>149.19999999999999</v>
      </c>
      <c r="T256">
        <v>146.19999999999999</v>
      </c>
      <c r="U256">
        <v>153.9</v>
      </c>
      <c r="V256">
        <v>144.6</v>
      </c>
      <c r="W256">
        <v>130.9</v>
      </c>
      <c r="X256">
        <v>142.80000000000001</v>
      </c>
      <c r="Y256">
        <v>142.30000000000001</v>
      </c>
      <c r="Z256">
        <v>151.19999999999999</v>
      </c>
      <c r="AA256">
        <v>156.1</v>
      </c>
      <c r="AB256">
        <v>169.2</v>
      </c>
      <c r="AC256">
        <v>143.4</v>
      </c>
      <c r="AD256">
        <v>150.19999999999999</v>
      </c>
    </row>
    <row r="257" spans="1:30" x14ac:dyDescent="0.35">
      <c r="A257" t="s">
        <v>30</v>
      </c>
      <c r="B257">
        <v>2020</v>
      </c>
      <c r="C257" t="s">
        <v>34</v>
      </c>
      <c r="D257">
        <v>144.19999999999999</v>
      </c>
      <c r="E257">
        <v>167.5</v>
      </c>
      <c r="F257">
        <v>150.9</v>
      </c>
      <c r="G257">
        <v>150.9</v>
      </c>
      <c r="H257">
        <v>140.69999999999999</v>
      </c>
      <c r="I257">
        <v>165.1</v>
      </c>
      <c r="J257">
        <v>141.80000000000001</v>
      </c>
      <c r="K257">
        <v>113.1</v>
      </c>
      <c r="L257">
        <v>152.80000000000001</v>
      </c>
      <c r="M257">
        <v>140.1</v>
      </c>
      <c r="N257">
        <v>159.19999999999999</v>
      </c>
      <c r="O257">
        <v>149.80000000000001</v>
      </c>
      <c r="P257">
        <v>133.69999999999999</v>
      </c>
      <c r="Q257">
        <v>153</v>
      </c>
      <c r="R257">
        <v>147.5</v>
      </c>
      <c r="S257">
        <v>152.30000000000001</v>
      </c>
      <c r="T257">
        <v>151.80000000000001</v>
      </c>
      <c r="U257">
        <v>139.2551</v>
      </c>
      <c r="V257">
        <v>152.30000000000001</v>
      </c>
      <c r="W257">
        <v>136</v>
      </c>
      <c r="X257">
        <v>150.4</v>
      </c>
      <c r="Y257">
        <v>143.4</v>
      </c>
      <c r="Z257">
        <v>156.19999999999999</v>
      </c>
      <c r="AA257">
        <v>161.9</v>
      </c>
      <c r="AB257">
        <v>169.4</v>
      </c>
      <c r="AC257">
        <v>148.4</v>
      </c>
      <c r="AD257">
        <v>150.4</v>
      </c>
    </row>
    <row r="258" spans="1:30" x14ac:dyDescent="0.35">
      <c r="A258" t="s">
        <v>32</v>
      </c>
      <c r="B258">
        <v>2020</v>
      </c>
      <c r="C258" t="s">
        <v>34</v>
      </c>
      <c r="D258">
        <v>146.19999999999999</v>
      </c>
      <c r="E258">
        <v>167.6</v>
      </c>
      <c r="F258">
        <v>153.1</v>
      </c>
      <c r="G258">
        <v>150.69999999999999</v>
      </c>
      <c r="H258">
        <v>143.1</v>
      </c>
      <c r="I258">
        <v>181.7</v>
      </c>
      <c r="J258">
        <v>139.6</v>
      </c>
      <c r="K258">
        <v>114.6</v>
      </c>
      <c r="L258">
        <v>150.4</v>
      </c>
      <c r="M258">
        <v>131.5</v>
      </c>
      <c r="N258">
        <v>159</v>
      </c>
      <c r="O258">
        <v>151.69999999999999</v>
      </c>
      <c r="P258">
        <v>127.4</v>
      </c>
      <c r="Q258">
        <v>147.30000000000001</v>
      </c>
      <c r="R258">
        <v>133.5</v>
      </c>
      <c r="S258">
        <v>145.19999999999999</v>
      </c>
      <c r="T258">
        <v>140.4</v>
      </c>
      <c r="U258">
        <v>154.80000000000001</v>
      </c>
      <c r="V258">
        <v>138.9</v>
      </c>
      <c r="W258">
        <v>125.2</v>
      </c>
      <c r="X258">
        <v>137.69999999999999</v>
      </c>
      <c r="Y258">
        <v>143.5</v>
      </c>
      <c r="Z258">
        <v>144.4</v>
      </c>
      <c r="AA258">
        <v>152.19999999999999</v>
      </c>
      <c r="AB258">
        <v>172</v>
      </c>
      <c r="AC258">
        <v>138.4</v>
      </c>
      <c r="AD258">
        <v>147.69999999999999</v>
      </c>
    </row>
    <row r="259" spans="1:30" x14ac:dyDescent="0.35">
      <c r="A259" t="s">
        <v>33</v>
      </c>
      <c r="B259">
        <v>2020</v>
      </c>
      <c r="C259" t="s">
        <v>34</v>
      </c>
      <c r="D259">
        <v>144.80000000000001</v>
      </c>
      <c r="E259">
        <v>167.5</v>
      </c>
      <c r="F259">
        <v>151.80000000000001</v>
      </c>
      <c r="G259">
        <v>150.80000000000001</v>
      </c>
      <c r="H259">
        <v>141.80000000000001</v>
      </c>
      <c r="I259">
        <v>170.7</v>
      </c>
      <c r="J259">
        <v>141.1</v>
      </c>
      <c r="K259">
        <v>113.6</v>
      </c>
      <c r="L259">
        <v>152</v>
      </c>
      <c r="M259">
        <v>136.5</v>
      </c>
      <c r="N259">
        <v>159.1</v>
      </c>
      <c r="O259">
        <v>150.5</v>
      </c>
      <c r="P259">
        <v>131.4</v>
      </c>
      <c r="Q259">
        <v>150.80000000000001</v>
      </c>
      <c r="R259">
        <v>141.69999999999999</v>
      </c>
      <c r="S259">
        <v>149.5</v>
      </c>
      <c r="T259">
        <v>146.4</v>
      </c>
      <c r="U259">
        <v>154.80000000000001</v>
      </c>
      <c r="V259">
        <v>147.19999999999999</v>
      </c>
      <c r="W259">
        <v>130.30000000000001</v>
      </c>
      <c r="X259">
        <v>143.19999999999999</v>
      </c>
      <c r="Y259">
        <v>143.4</v>
      </c>
      <c r="Z259">
        <v>151.69999999999999</v>
      </c>
      <c r="AA259">
        <v>156.19999999999999</v>
      </c>
      <c r="AB259">
        <v>170.1</v>
      </c>
      <c r="AC259">
        <v>143.6</v>
      </c>
      <c r="AD259">
        <v>149.1</v>
      </c>
    </row>
    <row r="260" spans="1:30" x14ac:dyDescent="0.35">
      <c r="A260" t="s">
        <v>30</v>
      </c>
      <c r="B260">
        <v>2020</v>
      </c>
      <c r="C260" t="s">
        <v>35</v>
      </c>
      <c r="D260">
        <v>144.4</v>
      </c>
      <c r="E260">
        <v>166.8</v>
      </c>
      <c r="F260">
        <v>147.6</v>
      </c>
      <c r="G260">
        <v>151.69999999999999</v>
      </c>
      <c r="H260">
        <v>141.80000000000001</v>
      </c>
      <c r="I260">
        <v>152.30000000000001</v>
      </c>
      <c r="J260">
        <v>141.80000000000001</v>
      </c>
      <c r="K260">
        <v>112.6</v>
      </c>
      <c r="L260">
        <v>154</v>
      </c>
      <c r="M260">
        <v>140.1</v>
      </c>
      <c r="N260">
        <v>160</v>
      </c>
      <c r="O260">
        <v>148.19999999999999</v>
      </c>
      <c r="P260">
        <v>133.30000000000001</v>
      </c>
      <c r="Q260">
        <v>153.4</v>
      </c>
      <c r="R260">
        <v>147.6</v>
      </c>
      <c r="S260">
        <v>152.5</v>
      </c>
      <c r="T260">
        <v>151.5</v>
      </c>
      <c r="U260">
        <v>139.2551</v>
      </c>
      <c r="V260">
        <v>153.4</v>
      </c>
      <c r="W260">
        <v>135.80000000000001</v>
      </c>
      <c r="X260">
        <v>151.19999999999999</v>
      </c>
      <c r="Y260">
        <v>145.1</v>
      </c>
      <c r="Z260">
        <v>156.69999999999999</v>
      </c>
      <c r="AA260">
        <v>161.19999999999999</v>
      </c>
      <c r="AB260">
        <v>170.5</v>
      </c>
      <c r="AC260">
        <v>148.6</v>
      </c>
      <c r="AD260">
        <v>149.80000000000001</v>
      </c>
    </row>
    <row r="261" spans="1:30" x14ac:dyDescent="0.35">
      <c r="A261" t="s">
        <v>32</v>
      </c>
      <c r="B261">
        <v>2020</v>
      </c>
      <c r="C261" t="s">
        <v>35</v>
      </c>
      <c r="D261">
        <v>146.5</v>
      </c>
      <c r="E261">
        <v>167.5</v>
      </c>
      <c r="F261">
        <v>148.9</v>
      </c>
      <c r="G261">
        <v>151.1</v>
      </c>
      <c r="H261">
        <v>143.30000000000001</v>
      </c>
      <c r="I261">
        <v>167</v>
      </c>
      <c r="J261">
        <v>139.69999999999999</v>
      </c>
      <c r="K261">
        <v>114.4</v>
      </c>
      <c r="L261">
        <v>151.5</v>
      </c>
      <c r="M261">
        <v>131.9</v>
      </c>
      <c r="N261">
        <v>159.1</v>
      </c>
      <c r="O261">
        <v>150.1</v>
      </c>
      <c r="P261">
        <v>127.5</v>
      </c>
      <c r="Q261">
        <v>147.69999999999999</v>
      </c>
      <c r="R261">
        <v>133.80000000000001</v>
      </c>
      <c r="S261">
        <v>145.6</v>
      </c>
      <c r="T261">
        <v>140.80000000000001</v>
      </c>
      <c r="U261">
        <v>154.5</v>
      </c>
      <c r="V261">
        <v>141.4</v>
      </c>
      <c r="W261">
        <v>124.6</v>
      </c>
      <c r="X261">
        <v>137.9</v>
      </c>
      <c r="Y261">
        <v>145.30000000000001</v>
      </c>
      <c r="Z261">
        <v>145</v>
      </c>
      <c r="AA261">
        <v>152.5</v>
      </c>
      <c r="AB261">
        <v>173.3</v>
      </c>
      <c r="AC261">
        <v>138.69999999999999</v>
      </c>
      <c r="AD261">
        <v>147.30000000000001</v>
      </c>
    </row>
    <row r="262" spans="1:30" x14ac:dyDescent="0.35">
      <c r="A262" t="s">
        <v>33</v>
      </c>
      <c r="B262">
        <v>2020</v>
      </c>
      <c r="C262" t="s">
        <v>35</v>
      </c>
      <c r="D262">
        <v>145.1</v>
      </c>
      <c r="E262">
        <v>167</v>
      </c>
      <c r="F262">
        <v>148.1</v>
      </c>
      <c r="G262">
        <v>151.5</v>
      </c>
      <c r="H262">
        <v>142.5</v>
      </c>
      <c r="I262">
        <v>157.30000000000001</v>
      </c>
      <c r="J262">
        <v>141.1</v>
      </c>
      <c r="K262">
        <v>113.2</v>
      </c>
      <c r="L262">
        <v>153.19999999999999</v>
      </c>
      <c r="M262">
        <v>136.69999999999999</v>
      </c>
      <c r="N262">
        <v>159.6</v>
      </c>
      <c r="O262">
        <v>148.9</v>
      </c>
      <c r="P262">
        <v>131.19999999999999</v>
      </c>
      <c r="Q262">
        <v>151.19999999999999</v>
      </c>
      <c r="R262">
        <v>141.9</v>
      </c>
      <c r="S262">
        <v>149.80000000000001</v>
      </c>
      <c r="T262">
        <v>146.4</v>
      </c>
      <c r="U262">
        <v>154.5</v>
      </c>
      <c r="V262">
        <v>148.9</v>
      </c>
      <c r="W262">
        <v>129.9</v>
      </c>
      <c r="X262">
        <v>143.69999999999999</v>
      </c>
      <c r="Y262">
        <v>145.19999999999999</v>
      </c>
      <c r="Z262">
        <v>152.30000000000001</v>
      </c>
      <c r="AA262">
        <v>156.1</v>
      </c>
      <c r="AB262">
        <v>171.2</v>
      </c>
      <c r="AC262">
        <v>143.80000000000001</v>
      </c>
      <c r="AD262">
        <v>148.6</v>
      </c>
    </row>
    <row r="263" spans="1:30" x14ac:dyDescent="0.35">
      <c r="A263" t="s">
        <v>30</v>
      </c>
      <c r="B263">
        <v>2020</v>
      </c>
      <c r="C263" t="s">
        <v>36</v>
      </c>
      <c r="D263">
        <v>147.19999999999999</v>
      </c>
      <c r="E263" s="2">
        <v>184.40259740259745</v>
      </c>
      <c r="F263">
        <v>146.9</v>
      </c>
      <c r="G263">
        <v>155.6</v>
      </c>
      <c r="H263">
        <v>147.30000000000001</v>
      </c>
      <c r="I263">
        <v>162.69999999999999</v>
      </c>
      <c r="J263">
        <v>150.19999999999999</v>
      </c>
      <c r="K263">
        <v>119.8</v>
      </c>
      <c r="L263">
        <v>158.69999999999999</v>
      </c>
      <c r="M263">
        <v>139.19999999999999</v>
      </c>
      <c r="N263" s="2">
        <v>165.10779220779222</v>
      </c>
      <c r="O263">
        <v>150.1</v>
      </c>
      <c r="P263">
        <v>137.1</v>
      </c>
      <c r="Q263" s="2">
        <v>159.81376623376622</v>
      </c>
      <c r="R263" s="2">
        <v>155.01636363636365</v>
      </c>
      <c r="S263" s="2">
        <v>159.14545454545458</v>
      </c>
      <c r="T263" s="2">
        <v>155.59220779220777</v>
      </c>
      <c r="U263">
        <v>139.2551</v>
      </c>
      <c r="V263">
        <v>148.4</v>
      </c>
      <c r="W263" s="2">
        <v>146.05168831168831</v>
      </c>
      <c r="X263" s="2">
        <v>155.4909090909091</v>
      </c>
      <c r="Y263" s="2">
        <v>152.13896103896104</v>
      </c>
      <c r="Z263">
        <v>154.30000000000001</v>
      </c>
      <c r="AA263" s="2">
        <v>156.4</v>
      </c>
      <c r="AB263" s="2">
        <v>163.88233766233765</v>
      </c>
      <c r="AC263" s="2">
        <v>180.27064935064934</v>
      </c>
      <c r="AD263" s="2">
        <v>155.20493506493509</v>
      </c>
    </row>
    <row r="264" spans="1:30" x14ac:dyDescent="0.35">
      <c r="A264" t="s">
        <v>32</v>
      </c>
      <c r="B264">
        <v>2020</v>
      </c>
      <c r="C264" t="s">
        <v>36</v>
      </c>
      <c r="D264">
        <v>151.80000000000001</v>
      </c>
      <c r="E264" s="2">
        <v>188.16987012987008</v>
      </c>
      <c r="F264">
        <v>151.9</v>
      </c>
      <c r="G264">
        <v>155.5</v>
      </c>
      <c r="H264">
        <v>152.9</v>
      </c>
      <c r="I264">
        <v>180</v>
      </c>
      <c r="J264">
        <v>150.80000000000001</v>
      </c>
      <c r="K264">
        <v>121.2</v>
      </c>
      <c r="L264">
        <v>154</v>
      </c>
      <c r="M264">
        <v>133.5</v>
      </c>
      <c r="N264" s="2">
        <v>166.56467532467536</v>
      </c>
      <c r="O264">
        <v>153.5</v>
      </c>
      <c r="P264">
        <v>131.6</v>
      </c>
      <c r="Q264" s="2">
        <v>153.20675324675324</v>
      </c>
      <c r="R264" s="2">
        <v>138.55454545454543</v>
      </c>
      <c r="S264" s="2">
        <v>150.98181818181817</v>
      </c>
      <c r="T264" s="2">
        <v>153.19999999999999</v>
      </c>
      <c r="U264">
        <v>155.6</v>
      </c>
      <c r="V264">
        <v>137.1</v>
      </c>
      <c r="W264" s="2">
        <v>136.56181818181815</v>
      </c>
      <c r="X264" s="2">
        <v>145.63636363636363</v>
      </c>
      <c r="Y264" s="2">
        <v>152.13428571428571</v>
      </c>
      <c r="Z264">
        <v>144.80000000000001</v>
      </c>
      <c r="AA264" s="2">
        <v>155.76025974025976</v>
      </c>
      <c r="AB264" s="2">
        <v>185.15064935064933</v>
      </c>
      <c r="AC264" s="2">
        <v>146.59402597402601</v>
      </c>
      <c r="AD264">
        <v>139.6</v>
      </c>
    </row>
    <row r="265" spans="1:30" x14ac:dyDescent="0.35">
      <c r="A265" t="s">
        <v>33</v>
      </c>
      <c r="B265">
        <v>2020</v>
      </c>
      <c r="C265" t="s">
        <v>36</v>
      </c>
      <c r="D265">
        <v>148.69999999999999</v>
      </c>
      <c r="E265" s="2">
        <v>185.71766233766238</v>
      </c>
      <c r="F265">
        <v>148.80000000000001</v>
      </c>
      <c r="G265">
        <v>155.6</v>
      </c>
      <c r="H265">
        <v>149.9</v>
      </c>
      <c r="I265">
        <v>168.6</v>
      </c>
      <c r="J265">
        <v>150.4</v>
      </c>
      <c r="K265">
        <v>120.3</v>
      </c>
      <c r="L265">
        <v>157.1</v>
      </c>
      <c r="M265">
        <v>136.80000000000001</v>
      </c>
      <c r="N265" s="2">
        <v>165.79740259740257</v>
      </c>
      <c r="O265">
        <v>151.4</v>
      </c>
      <c r="P265">
        <v>135.1</v>
      </c>
      <c r="Q265" s="2">
        <v>157.22623376623378</v>
      </c>
      <c r="R265" s="2">
        <v>148.18805194805196</v>
      </c>
      <c r="S265" s="2">
        <v>155.914025974026</v>
      </c>
      <c r="T265" s="2">
        <v>151.13038961038961</v>
      </c>
      <c r="U265">
        <v>155.6</v>
      </c>
      <c r="V265">
        <v>144.1</v>
      </c>
      <c r="W265" s="2">
        <v>141.05116883116881</v>
      </c>
      <c r="X265" s="2">
        <v>149.94337662337665</v>
      </c>
      <c r="Y265" s="2">
        <v>152.13974025974025</v>
      </c>
      <c r="Z265">
        <v>150.69999999999999</v>
      </c>
      <c r="AA265" s="2">
        <v>159.14675324675318</v>
      </c>
      <c r="AB265" s="2">
        <v>181.56753246753246</v>
      </c>
      <c r="AC265" s="2">
        <v>151.04155844155846</v>
      </c>
      <c r="AD265">
        <v>139.6</v>
      </c>
    </row>
    <row r="266" spans="1:30" x14ac:dyDescent="0.35">
      <c r="A266" t="s">
        <v>30</v>
      </c>
      <c r="B266">
        <v>2020</v>
      </c>
      <c r="C266" t="s">
        <v>37</v>
      </c>
      <c r="D266" s="2">
        <v>140.73081818181817</v>
      </c>
      <c r="E266" s="2">
        <v>164.55393506493508</v>
      </c>
      <c r="F266" s="2">
        <v>146.05545454545452</v>
      </c>
      <c r="G266" s="2">
        <v>146.98518181818173</v>
      </c>
      <c r="H266" s="2">
        <v>146.75390909090913</v>
      </c>
      <c r="I266" s="2">
        <v>152.41936363636361</v>
      </c>
      <c r="J266" s="2">
        <v>148.61209090909088</v>
      </c>
      <c r="K266" s="2">
        <v>112.70218181818187</v>
      </c>
      <c r="L266" s="2">
        <v>151.85672727272726</v>
      </c>
      <c r="M266" s="2">
        <v>143.32445454545459</v>
      </c>
      <c r="N266" s="2">
        <v>157.03280519480512</v>
      </c>
      <c r="O266" s="2">
        <v>147.55963636363632</v>
      </c>
      <c r="P266" s="2">
        <v>142.74281818181819</v>
      </c>
      <c r="Q266" s="2">
        <v>153.49695584415593</v>
      </c>
      <c r="R266" s="2">
        <v>148.90589090909091</v>
      </c>
      <c r="S266" s="2">
        <v>152.85336363636361</v>
      </c>
      <c r="T266" s="2">
        <v>147.09319480519474</v>
      </c>
      <c r="U266" s="2">
        <v>139.2551000000002</v>
      </c>
      <c r="V266" s="2">
        <v>147.44954545454542</v>
      </c>
      <c r="W266" s="2">
        <v>135.40060779220778</v>
      </c>
      <c r="X266" s="2">
        <v>143.79072727272731</v>
      </c>
      <c r="Y266" s="2">
        <v>140.25102597402602</v>
      </c>
      <c r="Z266" s="2">
        <v>149.02181818181819</v>
      </c>
      <c r="AA266" s="2">
        <v>150.91981818181819</v>
      </c>
      <c r="AB266" s="2">
        <v>163.55955064935063</v>
      </c>
      <c r="AC266" s="2">
        <v>143.84843376623377</v>
      </c>
      <c r="AD266" s="2">
        <v>147.40686753246754</v>
      </c>
    </row>
    <row r="267" spans="1:30" x14ac:dyDescent="0.35">
      <c r="A267" t="s">
        <v>32</v>
      </c>
      <c r="B267">
        <v>2020</v>
      </c>
      <c r="C267" t="s">
        <v>37</v>
      </c>
      <c r="D267" s="2">
        <v>141.66563636363642</v>
      </c>
      <c r="E267" s="2">
        <v>167.14315324675329</v>
      </c>
      <c r="F267" s="2">
        <v>147.64627272727273</v>
      </c>
      <c r="G267" s="2">
        <v>146.27800000000002</v>
      </c>
      <c r="H267" s="2">
        <v>146.54618181818179</v>
      </c>
      <c r="I267" s="2">
        <v>169.97736363636369</v>
      </c>
      <c r="J267" s="2">
        <v>149.25909090909093</v>
      </c>
      <c r="K267" s="2">
        <v>113.31372727272728</v>
      </c>
      <c r="L267" s="2">
        <v>153.43345454545451</v>
      </c>
      <c r="M267" s="2">
        <v>135.1551818181818</v>
      </c>
      <c r="N267" s="2">
        <v>156.9732831168831</v>
      </c>
      <c r="O267" s="2">
        <v>149.75481818181817</v>
      </c>
      <c r="P267" s="2">
        <v>133.06563636363637</v>
      </c>
      <c r="Q267" s="2">
        <v>145.1014311688312</v>
      </c>
      <c r="R267" s="2">
        <v>133.92263636363634</v>
      </c>
      <c r="S267" s="2">
        <v>143.39945454545455</v>
      </c>
      <c r="T267" s="2">
        <v>138.73618181818188</v>
      </c>
      <c r="U267" s="2">
        <v>146.35563636363639</v>
      </c>
      <c r="V267" s="2">
        <v>137.03027272727275</v>
      </c>
      <c r="W267" s="2">
        <v>128.01325454545457</v>
      </c>
      <c r="X267" s="2">
        <v>136.73809090909091</v>
      </c>
      <c r="Y267" s="2">
        <v>139.46534285714284</v>
      </c>
      <c r="Z267" s="2">
        <v>141.42845454545454</v>
      </c>
      <c r="AA267" s="2">
        <v>146.3246935064935</v>
      </c>
      <c r="AB267" s="2">
        <v>168.16323376623382</v>
      </c>
      <c r="AC267" s="2">
        <v>137.04184935064933</v>
      </c>
      <c r="AD267" s="2">
        <v>144.32418181818178</v>
      </c>
    </row>
    <row r="268" spans="1:30" x14ac:dyDescent="0.35">
      <c r="A268" t="s">
        <v>33</v>
      </c>
      <c r="B268">
        <v>2020</v>
      </c>
      <c r="C268" t="s">
        <v>37</v>
      </c>
      <c r="D268" s="2">
        <v>141.01281818181818</v>
      </c>
      <c r="E268" s="2">
        <v>165.49335844155848</v>
      </c>
      <c r="F268" s="2">
        <v>146.66999999999999</v>
      </c>
      <c r="G268" s="2">
        <v>146.72636363636363</v>
      </c>
      <c r="H268" s="2">
        <v>146.64854545454554</v>
      </c>
      <c r="I268" s="2">
        <v>158.32900000000006</v>
      </c>
      <c r="J268" s="2">
        <v>148.85263636363632</v>
      </c>
      <c r="K268" s="2">
        <v>112.92900000000002</v>
      </c>
      <c r="L268" s="2">
        <v>152.39499999999998</v>
      </c>
      <c r="M268" s="2">
        <v>139.94209090909092</v>
      </c>
      <c r="N268" s="2">
        <v>157.01606493506489</v>
      </c>
      <c r="O268" s="2">
        <v>148.36609090909087</v>
      </c>
      <c r="P268" s="2">
        <v>139.2148181818182</v>
      </c>
      <c r="Q268" s="2">
        <v>150.20744415584414</v>
      </c>
      <c r="R268" s="2">
        <v>142.6926987012987</v>
      </c>
      <c r="S268" s="2">
        <v>149.11504935064931</v>
      </c>
      <c r="T268" s="2">
        <v>143.12194025974026</v>
      </c>
      <c r="U268" s="2">
        <v>146.36163636363639</v>
      </c>
      <c r="V268" s="2">
        <v>143.52145454545459</v>
      </c>
      <c r="W268" s="2">
        <v>131.49442077922083</v>
      </c>
      <c r="X268" s="2">
        <v>139.83261558441555</v>
      </c>
      <c r="Y268" s="2">
        <v>139.91730649350643</v>
      </c>
      <c r="Z268" s="2">
        <v>146.14945454545449</v>
      </c>
      <c r="AA268" s="2">
        <v>148.28383116883117</v>
      </c>
      <c r="AB268" s="2">
        <v>164.92431168831163</v>
      </c>
      <c r="AC268" s="2">
        <v>140.42496103896107</v>
      </c>
      <c r="AD268" s="2">
        <v>145.8998181818182</v>
      </c>
    </row>
    <row r="269" spans="1:30" x14ac:dyDescent="0.35">
      <c r="A269" t="s">
        <v>30</v>
      </c>
      <c r="B269">
        <v>2020</v>
      </c>
      <c r="C269" t="s">
        <v>38</v>
      </c>
      <c r="D269">
        <v>148.19999999999999</v>
      </c>
      <c r="E269">
        <v>190.3</v>
      </c>
      <c r="F269">
        <v>149.4</v>
      </c>
      <c r="G269">
        <v>153.30000000000001</v>
      </c>
      <c r="H269">
        <v>143.19999999999999</v>
      </c>
      <c r="I269">
        <v>148.9</v>
      </c>
      <c r="J269">
        <v>150.30000000000001</v>
      </c>
      <c r="K269">
        <v>113.2</v>
      </c>
      <c r="L269">
        <v>159.80000000000001</v>
      </c>
      <c r="M269">
        <v>142.1</v>
      </c>
      <c r="N269">
        <v>161.80000000000001</v>
      </c>
      <c r="O269">
        <v>152.30000000000001</v>
      </c>
      <c r="P269">
        <v>138.19999999999999</v>
      </c>
      <c r="Q269">
        <v>154.69999999999999</v>
      </c>
      <c r="R269">
        <v>150</v>
      </c>
      <c r="S269">
        <v>154.1</v>
      </c>
      <c r="T269">
        <v>151.69999999999999</v>
      </c>
      <c r="U269">
        <v>139.2551</v>
      </c>
      <c r="V269">
        <v>144.9</v>
      </c>
      <c r="W269">
        <v>141.4</v>
      </c>
      <c r="X269">
        <v>153.19999999999999</v>
      </c>
      <c r="Y269">
        <v>151.19999999999999</v>
      </c>
      <c r="Z269">
        <v>158.19999999999999</v>
      </c>
      <c r="AA269">
        <v>161.80000000000001</v>
      </c>
      <c r="AB269">
        <v>182.4</v>
      </c>
      <c r="AC269">
        <v>151.69999999999999</v>
      </c>
      <c r="AD269">
        <v>152.69999999999999</v>
      </c>
    </row>
    <row r="270" spans="1:30" x14ac:dyDescent="0.35">
      <c r="A270" t="s">
        <v>32</v>
      </c>
      <c r="B270">
        <v>2020</v>
      </c>
      <c r="C270" t="s">
        <v>38</v>
      </c>
      <c r="D270">
        <v>152.69999999999999</v>
      </c>
      <c r="E270">
        <v>197</v>
      </c>
      <c r="F270">
        <v>154.6</v>
      </c>
      <c r="G270">
        <v>153.4</v>
      </c>
      <c r="H270">
        <v>151.80000000000001</v>
      </c>
      <c r="I270">
        <v>171.2</v>
      </c>
      <c r="J270">
        <v>152</v>
      </c>
      <c r="K270">
        <v>116.3</v>
      </c>
      <c r="L270">
        <v>158.80000000000001</v>
      </c>
      <c r="M270">
        <v>135.6</v>
      </c>
      <c r="N270">
        <v>161.69999999999999</v>
      </c>
      <c r="O270">
        <v>157</v>
      </c>
      <c r="P270">
        <v>132.9</v>
      </c>
      <c r="Q270">
        <v>149.1</v>
      </c>
      <c r="R270">
        <v>136.6</v>
      </c>
      <c r="S270">
        <v>147.19999999999999</v>
      </c>
      <c r="T270">
        <v>140.4</v>
      </c>
      <c r="U270">
        <v>154.69999999999999</v>
      </c>
      <c r="V270">
        <v>137.1</v>
      </c>
      <c r="W270">
        <v>129.30000000000001</v>
      </c>
      <c r="X270">
        <v>144.5</v>
      </c>
      <c r="Y270">
        <v>152.19999999999999</v>
      </c>
      <c r="Z270">
        <v>148.1</v>
      </c>
      <c r="AA270">
        <v>152.5</v>
      </c>
      <c r="AB270">
        <v>186.7</v>
      </c>
      <c r="AC270">
        <v>142</v>
      </c>
      <c r="AD270">
        <v>150.80000000000001</v>
      </c>
    </row>
    <row r="271" spans="1:30" x14ac:dyDescent="0.35">
      <c r="A271" t="s">
        <v>33</v>
      </c>
      <c r="B271">
        <v>2020</v>
      </c>
      <c r="C271" t="s">
        <v>38</v>
      </c>
      <c r="D271">
        <v>149.6</v>
      </c>
      <c r="E271">
        <v>192.7</v>
      </c>
      <c r="F271">
        <v>151.4</v>
      </c>
      <c r="G271">
        <v>153.30000000000001</v>
      </c>
      <c r="H271">
        <v>147.19999999999999</v>
      </c>
      <c r="I271">
        <v>156.5</v>
      </c>
      <c r="J271">
        <v>150.9</v>
      </c>
      <c r="K271">
        <v>114.2</v>
      </c>
      <c r="L271">
        <v>159.5</v>
      </c>
      <c r="M271">
        <v>139.4</v>
      </c>
      <c r="N271">
        <v>161.80000000000001</v>
      </c>
      <c r="O271">
        <v>154</v>
      </c>
      <c r="P271">
        <v>136.30000000000001</v>
      </c>
      <c r="Q271">
        <v>152.5</v>
      </c>
      <c r="R271">
        <v>144.4</v>
      </c>
      <c r="S271">
        <v>151.4</v>
      </c>
      <c r="T271">
        <v>146.4</v>
      </c>
      <c r="U271">
        <v>154.69999999999999</v>
      </c>
      <c r="V271">
        <v>141.9</v>
      </c>
      <c r="W271">
        <v>135</v>
      </c>
      <c r="X271">
        <v>148.30000000000001</v>
      </c>
      <c r="Y271">
        <v>151.6</v>
      </c>
      <c r="Z271">
        <v>154.4</v>
      </c>
      <c r="AA271">
        <v>156.4</v>
      </c>
      <c r="AB271">
        <v>183.5</v>
      </c>
      <c r="AC271">
        <v>147</v>
      </c>
      <c r="AD271">
        <v>151.80000000000001</v>
      </c>
    </row>
    <row r="272" spans="1:30" x14ac:dyDescent="0.35">
      <c r="A272" t="s">
        <v>30</v>
      </c>
      <c r="B272">
        <v>2020</v>
      </c>
      <c r="C272" t="s">
        <v>39</v>
      </c>
      <c r="D272">
        <v>148.19999999999999</v>
      </c>
      <c r="E272">
        <v>190.3</v>
      </c>
      <c r="F272">
        <v>149.4</v>
      </c>
      <c r="G272">
        <v>153.30000000000001</v>
      </c>
      <c r="H272">
        <v>143.19999999999999</v>
      </c>
      <c r="I272">
        <v>148.9</v>
      </c>
      <c r="J272">
        <v>150.30000000000001</v>
      </c>
      <c r="K272">
        <v>113.2</v>
      </c>
      <c r="L272">
        <v>159.80000000000001</v>
      </c>
      <c r="M272">
        <v>142.1</v>
      </c>
      <c r="N272">
        <v>161.80000000000001</v>
      </c>
      <c r="O272">
        <v>152.30000000000001</v>
      </c>
      <c r="P272">
        <v>138.19999999999999</v>
      </c>
      <c r="Q272">
        <v>154.69999999999999</v>
      </c>
      <c r="R272">
        <v>150</v>
      </c>
      <c r="S272">
        <v>154.1</v>
      </c>
      <c r="T272">
        <v>151.69999999999999</v>
      </c>
      <c r="U272">
        <v>139.2551</v>
      </c>
      <c r="V272">
        <v>144.9</v>
      </c>
      <c r="W272">
        <v>141.4</v>
      </c>
      <c r="X272">
        <v>153.19999999999999</v>
      </c>
      <c r="Y272">
        <v>151.19999999999999</v>
      </c>
      <c r="Z272">
        <v>158.19999999999999</v>
      </c>
      <c r="AA272">
        <v>161.80000000000001</v>
      </c>
      <c r="AB272">
        <v>182.4</v>
      </c>
      <c r="AC272">
        <v>151.69999999999999</v>
      </c>
      <c r="AD272">
        <v>152.69999999999999</v>
      </c>
    </row>
    <row r="273" spans="1:30" x14ac:dyDescent="0.35">
      <c r="A273" t="s">
        <v>32</v>
      </c>
      <c r="B273">
        <v>2020</v>
      </c>
      <c r="C273" t="s">
        <v>39</v>
      </c>
      <c r="D273">
        <v>152.69999999999999</v>
      </c>
      <c r="E273">
        <v>197</v>
      </c>
      <c r="F273">
        <v>154.6</v>
      </c>
      <c r="G273">
        <v>153.4</v>
      </c>
      <c r="H273">
        <v>151.80000000000001</v>
      </c>
      <c r="I273">
        <v>171.2</v>
      </c>
      <c r="J273">
        <v>152</v>
      </c>
      <c r="K273">
        <v>116.3</v>
      </c>
      <c r="L273">
        <v>158.80000000000001</v>
      </c>
      <c r="M273">
        <v>135.6</v>
      </c>
      <c r="N273">
        <v>161.69999999999999</v>
      </c>
      <c r="O273">
        <v>157</v>
      </c>
      <c r="P273">
        <v>132.9</v>
      </c>
      <c r="Q273">
        <v>149.1</v>
      </c>
      <c r="R273">
        <v>136.6</v>
      </c>
      <c r="S273">
        <v>147.19999999999999</v>
      </c>
      <c r="T273">
        <v>140.4</v>
      </c>
      <c r="U273">
        <v>154.69999999999999</v>
      </c>
      <c r="V273">
        <v>137.1</v>
      </c>
      <c r="W273">
        <v>129.30000000000001</v>
      </c>
      <c r="X273">
        <v>144.5</v>
      </c>
      <c r="Y273">
        <v>152.19999999999999</v>
      </c>
      <c r="Z273">
        <v>148.1</v>
      </c>
      <c r="AA273">
        <v>152.5</v>
      </c>
      <c r="AB273">
        <v>186.7</v>
      </c>
      <c r="AC273">
        <v>142</v>
      </c>
      <c r="AD273">
        <v>150.80000000000001</v>
      </c>
    </row>
    <row r="274" spans="1:30" x14ac:dyDescent="0.35">
      <c r="A274" t="s">
        <v>33</v>
      </c>
      <c r="B274">
        <v>2020</v>
      </c>
      <c r="C274" t="s">
        <v>39</v>
      </c>
      <c r="D274">
        <v>149.6</v>
      </c>
      <c r="E274">
        <v>192.7</v>
      </c>
      <c r="F274">
        <v>151.4</v>
      </c>
      <c r="G274">
        <v>153.30000000000001</v>
      </c>
      <c r="H274">
        <v>147.19999999999999</v>
      </c>
      <c r="I274">
        <v>156.5</v>
      </c>
      <c r="J274">
        <v>150.9</v>
      </c>
      <c r="K274">
        <v>114.2</v>
      </c>
      <c r="L274">
        <v>159.5</v>
      </c>
      <c r="M274">
        <v>139.4</v>
      </c>
      <c r="N274">
        <v>161.80000000000001</v>
      </c>
      <c r="O274">
        <v>154</v>
      </c>
      <c r="P274">
        <v>136.30000000000001</v>
      </c>
      <c r="Q274">
        <v>152.5</v>
      </c>
      <c r="R274">
        <v>144.4</v>
      </c>
      <c r="S274">
        <v>151.4</v>
      </c>
      <c r="T274">
        <v>146.4</v>
      </c>
      <c r="U274">
        <v>154.69999999999999</v>
      </c>
      <c r="V274">
        <v>141.9</v>
      </c>
      <c r="W274">
        <v>135</v>
      </c>
      <c r="X274">
        <v>148.30000000000001</v>
      </c>
      <c r="Y274">
        <v>151.6</v>
      </c>
      <c r="Z274">
        <v>154.4</v>
      </c>
      <c r="AA274">
        <v>156.4</v>
      </c>
      <c r="AB274">
        <v>183.5</v>
      </c>
      <c r="AC274">
        <v>147</v>
      </c>
      <c r="AD274">
        <v>151.80000000000001</v>
      </c>
    </row>
    <row r="275" spans="1:30" x14ac:dyDescent="0.35">
      <c r="A275" t="s">
        <v>30</v>
      </c>
      <c r="B275">
        <v>2020</v>
      </c>
      <c r="C275" t="s">
        <v>40</v>
      </c>
      <c r="D275">
        <v>147.6</v>
      </c>
      <c r="E275">
        <v>187.2</v>
      </c>
      <c r="F275">
        <v>148.4</v>
      </c>
      <c r="G275">
        <v>153.30000000000001</v>
      </c>
      <c r="H275">
        <v>146.9</v>
      </c>
      <c r="I275">
        <v>171</v>
      </c>
      <c r="J275">
        <v>149.9</v>
      </c>
      <c r="K275">
        <v>114.2</v>
      </c>
      <c r="L275">
        <v>160</v>
      </c>
      <c r="M275">
        <v>143.5</v>
      </c>
      <c r="N275">
        <v>161.5</v>
      </c>
      <c r="O275">
        <v>155.30000000000001</v>
      </c>
      <c r="P275">
        <v>139.80000000000001</v>
      </c>
      <c r="Q275">
        <v>155.1</v>
      </c>
      <c r="R275">
        <v>149.30000000000001</v>
      </c>
      <c r="S275">
        <v>154.30000000000001</v>
      </c>
      <c r="T275">
        <v>151.9</v>
      </c>
      <c r="U275">
        <v>139.2551</v>
      </c>
      <c r="V275">
        <v>145.80000000000001</v>
      </c>
      <c r="W275">
        <v>143.6</v>
      </c>
      <c r="X275">
        <v>152.19999999999999</v>
      </c>
      <c r="Y275">
        <v>153.6</v>
      </c>
      <c r="Z275">
        <v>158.80000000000001</v>
      </c>
      <c r="AA275">
        <v>162.69999999999999</v>
      </c>
      <c r="AB275">
        <v>180.9</v>
      </c>
      <c r="AC275">
        <v>153</v>
      </c>
      <c r="AD275">
        <v>154.69999999999999</v>
      </c>
    </row>
    <row r="276" spans="1:30" x14ac:dyDescent="0.35">
      <c r="A276" t="s">
        <v>32</v>
      </c>
      <c r="B276">
        <v>2020</v>
      </c>
      <c r="C276" t="s">
        <v>40</v>
      </c>
      <c r="D276">
        <v>151.6</v>
      </c>
      <c r="E276">
        <v>197.8</v>
      </c>
      <c r="F276">
        <v>154.5</v>
      </c>
      <c r="G276">
        <v>153.4</v>
      </c>
      <c r="H276">
        <v>154.5</v>
      </c>
      <c r="I276">
        <v>191.9</v>
      </c>
      <c r="J276">
        <v>151.30000000000001</v>
      </c>
      <c r="K276">
        <v>116.8</v>
      </c>
      <c r="L276">
        <v>160</v>
      </c>
      <c r="M276">
        <v>136.5</v>
      </c>
      <c r="N276">
        <v>163.30000000000001</v>
      </c>
      <c r="O276">
        <v>159.9</v>
      </c>
      <c r="P276">
        <v>133.4</v>
      </c>
      <c r="Q276">
        <v>150</v>
      </c>
      <c r="R276">
        <v>135.19999999999999</v>
      </c>
      <c r="S276">
        <v>147.80000000000001</v>
      </c>
      <c r="T276">
        <v>144.5</v>
      </c>
      <c r="U276">
        <v>155.5</v>
      </c>
      <c r="V276">
        <v>138.30000000000001</v>
      </c>
      <c r="W276">
        <v>133.9</v>
      </c>
      <c r="X276">
        <v>141.19999999999999</v>
      </c>
      <c r="Y276">
        <v>155.19999999999999</v>
      </c>
      <c r="Z276">
        <v>148.69999999999999</v>
      </c>
      <c r="AA276">
        <v>155.5</v>
      </c>
      <c r="AB276">
        <v>187.2</v>
      </c>
      <c r="AC276">
        <v>144.80000000000001</v>
      </c>
      <c r="AD276">
        <v>152.9</v>
      </c>
    </row>
    <row r="277" spans="1:30" x14ac:dyDescent="0.35">
      <c r="A277" t="s">
        <v>33</v>
      </c>
      <c r="B277">
        <v>2020</v>
      </c>
      <c r="C277" t="s">
        <v>40</v>
      </c>
      <c r="D277">
        <v>148.9</v>
      </c>
      <c r="E277">
        <v>190.9</v>
      </c>
      <c r="F277">
        <v>150.80000000000001</v>
      </c>
      <c r="G277">
        <v>153.30000000000001</v>
      </c>
      <c r="H277">
        <v>150.4</v>
      </c>
      <c r="I277">
        <v>178.1</v>
      </c>
      <c r="J277">
        <v>150.4</v>
      </c>
      <c r="K277">
        <v>115.1</v>
      </c>
      <c r="L277">
        <v>160</v>
      </c>
      <c r="M277">
        <v>140.6</v>
      </c>
      <c r="N277">
        <v>162.30000000000001</v>
      </c>
      <c r="O277">
        <v>157</v>
      </c>
      <c r="P277">
        <v>137.4</v>
      </c>
      <c r="Q277">
        <v>153.1</v>
      </c>
      <c r="R277">
        <v>143.4</v>
      </c>
      <c r="S277">
        <v>151.69999999999999</v>
      </c>
      <c r="T277">
        <v>148.4</v>
      </c>
      <c r="U277">
        <v>155.5</v>
      </c>
      <c r="V277">
        <v>143</v>
      </c>
      <c r="W277">
        <v>138.5</v>
      </c>
      <c r="X277">
        <v>146</v>
      </c>
      <c r="Y277">
        <v>154.30000000000001</v>
      </c>
      <c r="Z277">
        <v>155</v>
      </c>
      <c r="AA277">
        <v>158.5</v>
      </c>
      <c r="AB277">
        <v>182.6</v>
      </c>
      <c r="AC277">
        <v>149</v>
      </c>
      <c r="AD277">
        <v>153.9</v>
      </c>
    </row>
    <row r="278" spans="1:30" x14ac:dyDescent="0.35">
      <c r="A278" t="s">
        <v>30</v>
      </c>
      <c r="B278">
        <v>2020</v>
      </c>
      <c r="C278" t="s">
        <v>41</v>
      </c>
      <c r="D278">
        <v>146.9</v>
      </c>
      <c r="E278">
        <v>183.9</v>
      </c>
      <c r="F278">
        <v>149.5</v>
      </c>
      <c r="G278">
        <v>153.4</v>
      </c>
      <c r="H278">
        <v>147</v>
      </c>
      <c r="I278">
        <v>178.8</v>
      </c>
      <c r="J278">
        <v>149.30000000000001</v>
      </c>
      <c r="K278">
        <v>115.1</v>
      </c>
      <c r="L278">
        <v>160</v>
      </c>
      <c r="M278">
        <v>145.4</v>
      </c>
      <c r="N278">
        <v>161.6</v>
      </c>
      <c r="O278">
        <v>156.1</v>
      </c>
      <c r="P278">
        <v>140.4</v>
      </c>
      <c r="Q278">
        <v>155.4</v>
      </c>
      <c r="R278">
        <v>149.9</v>
      </c>
      <c r="S278">
        <v>154.6</v>
      </c>
      <c r="T278">
        <v>151.6</v>
      </c>
      <c r="U278">
        <v>139.2551</v>
      </c>
      <c r="V278">
        <v>146.4</v>
      </c>
      <c r="W278">
        <v>144.6</v>
      </c>
      <c r="X278">
        <v>152.80000000000001</v>
      </c>
      <c r="Y278">
        <v>157.4</v>
      </c>
      <c r="Z278">
        <v>159.1</v>
      </c>
      <c r="AA278">
        <v>161.1</v>
      </c>
      <c r="AB278">
        <v>182.9</v>
      </c>
      <c r="AC278">
        <v>153.69999999999999</v>
      </c>
      <c r="AD278">
        <v>155.4</v>
      </c>
    </row>
    <row r="279" spans="1:30" x14ac:dyDescent="0.35">
      <c r="A279" t="s">
        <v>32</v>
      </c>
      <c r="B279">
        <v>2020</v>
      </c>
      <c r="C279" t="s">
        <v>41</v>
      </c>
      <c r="D279">
        <v>151.5</v>
      </c>
      <c r="E279">
        <v>193.1</v>
      </c>
      <c r="F279">
        <v>157.30000000000001</v>
      </c>
      <c r="G279">
        <v>153.9</v>
      </c>
      <c r="H279">
        <v>155.4</v>
      </c>
      <c r="I279">
        <v>202</v>
      </c>
      <c r="J279">
        <v>150.80000000000001</v>
      </c>
      <c r="K279">
        <v>118.9</v>
      </c>
      <c r="L279">
        <v>160.9</v>
      </c>
      <c r="M279">
        <v>137.69999999999999</v>
      </c>
      <c r="N279">
        <v>164.4</v>
      </c>
      <c r="O279">
        <v>161.30000000000001</v>
      </c>
      <c r="P279">
        <v>134.4</v>
      </c>
      <c r="Q279">
        <v>150.19999999999999</v>
      </c>
      <c r="R279">
        <v>136.30000000000001</v>
      </c>
      <c r="S279">
        <v>148.1</v>
      </c>
      <c r="T279">
        <v>145.4</v>
      </c>
      <c r="U279">
        <v>156.30000000000001</v>
      </c>
      <c r="V279">
        <v>137.19999999999999</v>
      </c>
      <c r="W279">
        <v>135.1</v>
      </c>
      <c r="X279">
        <v>141.80000000000001</v>
      </c>
      <c r="Y279">
        <v>159.80000000000001</v>
      </c>
      <c r="Z279">
        <v>150</v>
      </c>
      <c r="AA279">
        <v>154.9</v>
      </c>
      <c r="AB279">
        <v>188.7</v>
      </c>
      <c r="AC279">
        <v>146</v>
      </c>
      <c r="AD279">
        <v>154</v>
      </c>
    </row>
    <row r="280" spans="1:30" x14ac:dyDescent="0.35">
      <c r="A280" t="s">
        <v>33</v>
      </c>
      <c r="B280">
        <v>2020</v>
      </c>
      <c r="C280" t="s">
        <v>41</v>
      </c>
      <c r="D280">
        <v>148.4</v>
      </c>
      <c r="E280">
        <v>187.1</v>
      </c>
      <c r="F280">
        <v>152.5</v>
      </c>
      <c r="G280">
        <v>153.6</v>
      </c>
      <c r="H280">
        <v>150.9</v>
      </c>
      <c r="I280">
        <v>186.7</v>
      </c>
      <c r="J280">
        <v>149.80000000000001</v>
      </c>
      <c r="K280">
        <v>116.4</v>
      </c>
      <c r="L280">
        <v>160.30000000000001</v>
      </c>
      <c r="M280">
        <v>142.19999999999999</v>
      </c>
      <c r="N280">
        <v>162.9</v>
      </c>
      <c r="O280">
        <v>158</v>
      </c>
      <c r="P280">
        <v>138.19999999999999</v>
      </c>
      <c r="Q280">
        <v>153.4</v>
      </c>
      <c r="R280">
        <v>144.30000000000001</v>
      </c>
      <c r="S280">
        <v>152</v>
      </c>
      <c r="T280">
        <v>148.69999999999999</v>
      </c>
      <c r="U280">
        <v>156.30000000000001</v>
      </c>
      <c r="V280">
        <v>142.9</v>
      </c>
      <c r="W280">
        <v>139.6</v>
      </c>
      <c r="X280">
        <v>146.6</v>
      </c>
      <c r="Y280">
        <v>158.4</v>
      </c>
      <c r="Z280">
        <v>155.6</v>
      </c>
      <c r="AA280">
        <v>157.5</v>
      </c>
      <c r="AB280">
        <v>184.4</v>
      </c>
      <c r="AC280">
        <v>150</v>
      </c>
      <c r="AD280">
        <v>154.69999999999999</v>
      </c>
    </row>
    <row r="281" spans="1:30" x14ac:dyDescent="0.35">
      <c r="A281" t="s">
        <v>30</v>
      </c>
      <c r="B281">
        <v>2020</v>
      </c>
      <c r="C281" t="s">
        <v>42</v>
      </c>
      <c r="D281">
        <v>146</v>
      </c>
      <c r="E281">
        <v>186.3</v>
      </c>
      <c r="F281">
        <v>159.19999999999999</v>
      </c>
      <c r="G281">
        <v>153.6</v>
      </c>
      <c r="H281">
        <v>147.19999999999999</v>
      </c>
      <c r="I281">
        <v>200.6</v>
      </c>
      <c r="J281">
        <v>150.30000000000001</v>
      </c>
      <c r="K281">
        <v>115.3</v>
      </c>
      <c r="L281">
        <v>160.9</v>
      </c>
      <c r="M281">
        <v>147.4</v>
      </c>
      <c r="N281">
        <v>161.9</v>
      </c>
      <c r="O281">
        <v>159.6</v>
      </c>
      <c r="P281">
        <v>142.6</v>
      </c>
      <c r="Q281">
        <v>155.69999999999999</v>
      </c>
      <c r="R281">
        <v>150.6</v>
      </c>
      <c r="S281">
        <v>155</v>
      </c>
      <c r="T281">
        <v>152</v>
      </c>
      <c r="U281">
        <v>139.2551</v>
      </c>
      <c r="V281">
        <v>146.80000000000001</v>
      </c>
      <c r="W281">
        <v>146.4</v>
      </c>
      <c r="X281">
        <v>152.4</v>
      </c>
      <c r="Y281">
        <v>156.19999999999999</v>
      </c>
      <c r="Z281">
        <v>159.5</v>
      </c>
      <c r="AA281">
        <v>162.5</v>
      </c>
      <c r="AB281">
        <v>182.7</v>
      </c>
      <c r="AC281">
        <v>154.30000000000001</v>
      </c>
      <c r="AD281">
        <v>157.5</v>
      </c>
    </row>
    <row r="282" spans="1:30" x14ac:dyDescent="0.35">
      <c r="A282" t="s">
        <v>32</v>
      </c>
      <c r="B282">
        <v>2020</v>
      </c>
      <c r="C282" t="s">
        <v>42</v>
      </c>
      <c r="D282">
        <v>150.6</v>
      </c>
      <c r="E282">
        <v>193.7</v>
      </c>
      <c r="F282">
        <v>164.8</v>
      </c>
      <c r="G282">
        <v>153.69999999999999</v>
      </c>
      <c r="H282">
        <v>155.69999999999999</v>
      </c>
      <c r="I282">
        <v>226</v>
      </c>
      <c r="J282">
        <v>152.19999999999999</v>
      </c>
      <c r="K282">
        <v>118.1</v>
      </c>
      <c r="L282">
        <v>161.30000000000001</v>
      </c>
      <c r="M282">
        <v>139.19999999999999</v>
      </c>
      <c r="N282">
        <v>164.8</v>
      </c>
      <c r="O282">
        <v>164.4</v>
      </c>
      <c r="P282">
        <v>135.69999999999999</v>
      </c>
      <c r="Q282">
        <v>150.5</v>
      </c>
      <c r="R282">
        <v>136.1</v>
      </c>
      <c r="S282">
        <v>148.30000000000001</v>
      </c>
      <c r="T282">
        <v>145.1</v>
      </c>
      <c r="U282">
        <v>156.5</v>
      </c>
      <c r="V282">
        <v>137.1</v>
      </c>
      <c r="W282">
        <v>135.4</v>
      </c>
      <c r="X282">
        <v>142</v>
      </c>
      <c r="Y282">
        <v>158.1</v>
      </c>
      <c r="Z282">
        <v>151</v>
      </c>
      <c r="AA282">
        <v>155.69999999999999</v>
      </c>
      <c r="AB282">
        <v>188.7</v>
      </c>
      <c r="AC282">
        <v>146.19999999999999</v>
      </c>
      <c r="AD282">
        <v>155.19999999999999</v>
      </c>
    </row>
    <row r="283" spans="1:30" x14ac:dyDescent="0.35">
      <c r="A283" t="s">
        <v>33</v>
      </c>
      <c r="B283">
        <v>2020</v>
      </c>
      <c r="C283" t="s">
        <v>42</v>
      </c>
      <c r="D283">
        <v>147.5</v>
      </c>
      <c r="E283">
        <v>188.9</v>
      </c>
      <c r="F283">
        <v>161.4</v>
      </c>
      <c r="G283">
        <v>153.6</v>
      </c>
      <c r="H283">
        <v>151.19999999999999</v>
      </c>
      <c r="I283">
        <v>209.2</v>
      </c>
      <c r="J283">
        <v>150.9</v>
      </c>
      <c r="K283">
        <v>116.2</v>
      </c>
      <c r="L283">
        <v>161</v>
      </c>
      <c r="M283">
        <v>144</v>
      </c>
      <c r="N283">
        <v>163.19999999999999</v>
      </c>
      <c r="O283">
        <v>161.4</v>
      </c>
      <c r="P283">
        <v>140.1</v>
      </c>
      <c r="Q283">
        <v>153.69999999999999</v>
      </c>
      <c r="R283">
        <v>144.6</v>
      </c>
      <c r="S283">
        <v>152.30000000000001</v>
      </c>
      <c r="T283">
        <v>148.69999999999999</v>
      </c>
      <c r="U283">
        <v>156.5</v>
      </c>
      <c r="V283">
        <v>143.1</v>
      </c>
      <c r="W283">
        <v>140.6</v>
      </c>
      <c r="X283">
        <v>146.5</v>
      </c>
      <c r="Y283">
        <v>157</v>
      </c>
      <c r="Z283">
        <v>156.30000000000001</v>
      </c>
      <c r="AA283">
        <v>158.5</v>
      </c>
      <c r="AB283">
        <v>184.3</v>
      </c>
      <c r="AC283">
        <v>150.4</v>
      </c>
      <c r="AD283">
        <v>156.4</v>
      </c>
    </row>
    <row r="284" spans="1:30" x14ac:dyDescent="0.35">
      <c r="A284" t="s">
        <v>30</v>
      </c>
      <c r="B284">
        <v>2020</v>
      </c>
      <c r="C284" t="s">
        <v>44</v>
      </c>
      <c r="D284">
        <v>145.4</v>
      </c>
      <c r="E284">
        <v>188.6</v>
      </c>
      <c r="F284">
        <v>171.6</v>
      </c>
      <c r="G284">
        <v>153.80000000000001</v>
      </c>
      <c r="H284">
        <v>146.5</v>
      </c>
      <c r="I284">
        <v>222.2</v>
      </c>
      <c r="J284">
        <v>155.9</v>
      </c>
      <c r="K284">
        <v>114.9</v>
      </c>
      <c r="L284">
        <v>162</v>
      </c>
      <c r="M284">
        <v>150</v>
      </c>
      <c r="N284">
        <v>162.69999999999999</v>
      </c>
      <c r="O284">
        <v>163.4</v>
      </c>
      <c r="P284">
        <v>145.4</v>
      </c>
      <c r="Q284">
        <v>156.30000000000001</v>
      </c>
      <c r="R284">
        <v>151</v>
      </c>
      <c r="S284">
        <v>155.5</v>
      </c>
      <c r="T284">
        <v>152.80000000000001</v>
      </c>
      <c r="U284">
        <v>139.2551</v>
      </c>
      <c r="V284">
        <v>147.5</v>
      </c>
      <c r="W284">
        <v>146.1</v>
      </c>
      <c r="X284">
        <v>153.6</v>
      </c>
      <c r="Y284">
        <v>156.19999999999999</v>
      </c>
      <c r="Z284">
        <v>160.4</v>
      </c>
      <c r="AA284">
        <v>161.6</v>
      </c>
      <c r="AB284">
        <v>183.4</v>
      </c>
      <c r="AC284">
        <v>154.5</v>
      </c>
      <c r="AD284">
        <v>159.80000000000001</v>
      </c>
    </row>
    <row r="285" spans="1:30" x14ac:dyDescent="0.35">
      <c r="A285" t="s">
        <v>32</v>
      </c>
      <c r="B285">
        <v>2020</v>
      </c>
      <c r="C285" t="s">
        <v>44</v>
      </c>
      <c r="D285">
        <v>149.69999999999999</v>
      </c>
      <c r="E285">
        <v>195.5</v>
      </c>
      <c r="F285">
        <v>176.9</v>
      </c>
      <c r="G285">
        <v>153.9</v>
      </c>
      <c r="H285">
        <v>150.5</v>
      </c>
      <c r="I285">
        <v>245.3</v>
      </c>
      <c r="J285">
        <v>158.69999999999999</v>
      </c>
      <c r="K285">
        <v>117.2</v>
      </c>
      <c r="L285">
        <v>161.4</v>
      </c>
      <c r="M285">
        <v>141.5</v>
      </c>
      <c r="N285">
        <v>165.1</v>
      </c>
      <c r="O285">
        <v>167</v>
      </c>
      <c r="P285">
        <v>138</v>
      </c>
      <c r="Q285">
        <v>151.1</v>
      </c>
      <c r="R285">
        <v>136.4</v>
      </c>
      <c r="S285">
        <v>148.80000000000001</v>
      </c>
      <c r="T285">
        <v>145.1</v>
      </c>
      <c r="U285">
        <v>158</v>
      </c>
      <c r="V285">
        <v>137.30000000000001</v>
      </c>
      <c r="W285">
        <v>135.19999999999999</v>
      </c>
      <c r="X285">
        <v>144.4</v>
      </c>
      <c r="Y285">
        <v>157.9</v>
      </c>
      <c r="Z285">
        <v>152</v>
      </c>
      <c r="AA285">
        <v>156.4</v>
      </c>
      <c r="AB285">
        <v>188.8</v>
      </c>
      <c r="AC285">
        <v>146.6</v>
      </c>
      <c r="AD285">
        <v>156.69999999999999</v>
      </c>
    </row>
    <row r="286" spans="1:30" x14ac:dyDescent="0.35">
      <c r="A286" t="s">
        <v>33</v>
      </c>
      <c r="B286">
        <v>2020</v>
      </c>
      <c r="C286" t="s">
        <v>44</v>
      </c>
      <c r="D286">
        <v>146.80000000000001</v>
      </c>
      <c r="E286">
        <v>191</v>
      </c>
      <c r="F286">
        <v>173.6</v>
      </c>
      <c r="G286">
        <v>153.80000000000001</v>
      </c>
      <c r="H286">
        <v>148.4</v>
      </c>
      <c r="I286">
        <v>230</v>
      </c>
      <c r="J286">
        <v>156.80000000000001</v>
      </c>
      <c r="K286">
        <v>115.7</v>
      </c>
      <c r="L286">
        <v>161.80000000000001</v>
      </c>
      <c r="M286">
        <v>146.5</v>
      </c>
      <c r="N286">
        <v>163.80000000000001</v>
      </c>
      <c r="O286">
        <v>164.7</v>
      </c>
      <c r="P286">
        <v>142.69999999999999</v>
      </c>
      <c r="Q286">
        <v>154.30000000000001</v>
      </c>
      <c r="R286">
        <v>144.9</v>
      </c>
      <c r="S286">
        <v>152.80000000000001</v>
      </c>
      <c r="T286">
        <v>149.19999999999999</v>
      </c>
      <c r="U286">
        <v>158</v>
      </c>
      <c r="V286">
        <v>143.6</v>
      </c>
      <c r="W286">
        <v>140.4</v>
      </c>
      <c r="X286">
        <v>148.4</v>
      </c>
      <c r="Y286">
        <v>156.9</v>
      </c>
      <c r="Z286">
        <v>157.19999999999999</v>
      </c>
      <c r="AA286">
        <v>158.6</v>
      </c>
      <c r="AB286">
        <v>184.8</v>
      </c>
      <c r="AC286">
        <v>150.69999999999999</v>
      </c>
      <c r="AD286">
        <v>158.4</v>
      </c>
    </row>
    <row r="287" spans="1:30" x14ac:dyDescent="0.35">
      <c r="A287" t="s">
        <v>30</v>
      </c>
      <c r="B287">
        <v>2020</v>
      </c>
      <c r="C287" t="s">
        <v>45</v>
      </c>
      <c r="D287">
        <v>144.6</v>
      </c>
      <c r="E287">
        <v>188.5</v>
      </c>
      <c r="F287">
        <v>173.4</v>
      </c>
      <c r="G287">
        <v>154</v>
      </c>
      <c r="H287">
        <v>145.9</v>
      </c>
      <c r="I287">
        <v>225.2</v>
      </c>
      <c r="J287">
        <v>159.5</v>
      </c>
      <c r="K287">
        <v>114.4</v>
      </c>
      <c r="L287">
        <v>163.5</v>
      </c>
      <c r="M287">
        <v>153.4</v>
      </c>
      <c r="N287">
        <v>163.6</v>
      </c>
      <c r="O287">
        <v>164.5</v>
      </c>
      <c r="P287">
        <v>150</v>
      </c>
      <c r="Q287">
        <v>157</v>
      </c>
      <c r="R287">
        <v>151.6</v>
      </c>
      <c r="S287">
        <v>156.30000000000001</v>
      </c>
      <c r="T287">
        <v>153.4</v>
      </c>
      <c r="U287">
        <v>139.2551</v>
      </c>
      <c r="V287">
        <v>148.69999999999999</v>
      </c>
      <c r="W287">
        <v>146.4</v>
      </c>
      <c r="X287">
        <v>153.9</v>
      </c>
      <c r="Y287">
        <v>156.6</v>
      </c>
      <c r="Z287">
        <v>161.6</v>
      </c>
      <c r="AA287">
        <v>162.9</v>
      </c>
      <c r="AB287">
        <v>183.6</v>
      </c>
      <c r="AC287">
        <v>155.19999999999999</v>
      </c>
      <c r="AD287">
        <v>160.69999999999999</v>
      </c>
    </row>
    <row r="288" spans="1:30" x14ac:dyDescent="0.35">
      <c r="A288" t="s">
        <v>32</v>
      </c>
      <c r="B288">
        <v>2020</v>
      </c>
      <c r="C288" t="s">
        <v>45</v>
      </c>
      <c r="D288">
        <v>149</v>
      </c>
      <c r="E288">
        <v>195.7</v>
      </c>
      <c r="F288">
        <v>178.3</v>
      </c>
      <c r="G288">
        <v>154.19999999999999</v>
      </c>
      <c r="H288">
        <v>149.69999999999999</v>
      </c>
      <c r="I288">
        <v>240.9</v>
      </c>
      <c r="J288">
        <v>161.5</v>
      </c>
      <c r="K288">
        <v>117.1</v>
      </c>
      <c r="L288">
        <v>161.9</v>
      </c>
      <c r="M288">
        <v>143.30000000000001</v>
      </c>
      <c r="N288">
        <v>166.1</v>
      </c>
      <c r="O288">
        <v>167</v>
      </c>
      <c r="P288">
        <v>140.69999999999999</v>
      </c>
      <c r="Q288">
        <v>151.9</v>
      </c>
      <c r="R288">
        <v>136.69999999999999</v>
      </c>
      <c r="S288">
        <v>149.6</v>
      </c>
      <c r="T288">
        <v>145.5</v>
      </c>
      <c r="U288">
        <v>158.4</v>
      </c>
      <c r="V288">
        <v>137.9</v>
      </c>
      <c r="W288">
        <v>135.5</v>
      </c>
      <c r="X288">
        <v>144.30000000000001</v>
      </c>
      <c r="Y288">
        <v>157.9</v>
      </c>
      <c r="Z288">
        <v>152.9</v>
      </c>
      <c r="AA288">
        <v>156.9</v>
      </c>
      <c r="AB288">
        <v>190.2</v>
      </c>
      <c r="AC288">
        <v>146.9</v>
      </c>
      <c r="AD288">
        <v>156.9</v>
      </c>
    </row>
    <row r="289" spans="1:30" x14ac:dyDescent="0.35">
      <c r="A289" t="s">
        <v>33</v>
      </c>
      <c r="B289">
        <v>2020</v>
      </c>
      <c r="C289" t="s">
        <v>45</v>
      </c>
      <c r="D289">
        <v>146</v>
      </c>
      <c r="E289">
        <v>191</v>
      </c>
      <c r="F289">
        <v>175.3</v>
      </c>
      <c r="G289">
        <v>154.1</v>
      </c>
      <c r="H289">
        <v>147.69999999999999</v>
      </c>
      <c r="I289">
        <v>230.5</v>
      </c>
      <c r="J289">
        <v>160.19999999999999</v>
      </c>
      <c r="K289">
        <v>115.3</v>
      </c>
      <c r="L289">
        <v>163</v>
      </c>
      <c r="M289">
        <v>149.19999999999999</v>
      </c>
      <c r="N289">
        <v>164.8</v>
      </c>
      <c r="O289">
        <v>165.4</v>
      </c>
      <c r="P289">
        <v>146.6</v>
      </c>
      <c r="Q289">
        <v>155</v>
      </c>
      <c r="R289">
        <v>145.4</v>
      </c>
      <c r="S289">
        <v>153.6</v>
      </c>
      <c r="T289">
        <v>149.69999999999999</v>
      </c>
      <c r="U289">
        <v>158.4</v>
      </c>
      <c r="V289">
        <v>144.6</v>
      </c>
      <c r="W289">
        <v>140.69999999999999</v>
      </c>
      <c r="X289">
        <v>148.5</v>
      </c>
      <c r="Y289">
        <v>157.1</v>
      </c>
      <c r="Z289">
        <v>158.30000000000001</v>
      </c>
      <c r="AA289">
        <v>159.4</v>
      </c>
      <c r="AB289">
        <v>185.4</v>
      </c>
      <c r="AC289">
        <v>151.19999999999999</v>
      </c>
      <c r="AD289">
        <v>158.9</v>
      </c>
    </row>
    <row r="290" spans="1:30" x14ac:dyDescent="0.35">
      <c r="A290" t="s">
        <v>30</v>
      </c>
      <c r="B290">
        <v>2021</v>
      </c>
      <c r="C290" t="s">
        <v>31</v>
      </c>
      <c r="D290">
        <v>143.4</v>
      </c>
      <c r="E290">
        <v>187.5</v>
      </c>
      <c r="F290">
        <v>173.4</v>
      </c>
      <c r="G290">
        <v>154</v>
      </c>
      <c r="H290">
        <v>147</v>
      </c>
      <c r="I290">
        <v>187.8</v>
      </c>
      <c r="J290">
        <v>159.5</v>
      </c>
      <c r="K290">
        <v>113.8</v>
      </c>
      <c r="L290">
        <v>164.5</v>
      </c>
      <c r="M290">
        <v>156.1</v>
      </c>
      <c r="N290">
        <v>164.3</v>
      </c>
      <c r="O290">
        <v>159.6</v>
      </c>
      <c r="P290">
        <v>154.80000000000001</v>
      </c>
      <c r="Q290">
        <v>157.5</v>
      </c>
      <c r="R290">
        <v>152.4</v>
      </c>
      <c r="S290">
        <v>156.80000000000001</v>
      </c>
      <c r="T290">
        <v>153.9</v>
      </c>
      <c r="U290">
        <v>139.2551</v>
      </c>
      <c r="V290">
        <v>150.9</v>
      </c>
      <c r="W290">
        <v>147.5</v>
      </c>
      <c r="X290">
        <v>155.1</v>
      </c>
      <c r="Y290">
        <v>156.19999999999999</v>
      </c>
      <c r="Z290">
        <v>162.5</v>
      </c>
      <c r="AA290">
        <v>163.5</v>
      </c>
      <c r="AB290">
        <v>184.6</v>
      </c>
      <c r="AC290">
        <v>155.9</v>
      </c>
      <c r="AD290">
        <v>158.5</v>
      </c>
    </row>
    <row r="291" spans="1:30" x14ac:dyDescent="0.35">
      <c r="A291" t="s">
        <v>32</v>
      </c>
      <c r="B291">
        <v>2021</v>
      </c>
      <c r="C291" t="s">
        <v>31</v>
      </c>
      <c r="D291">
        <v>148</v>
      </c>
      <c r="E291">
        <v>194.8</v>
      </c>
      <c r="F291">
        <v>178.4</v>
      </c>
      <c r="G291">
        <v>154.4</v>
      </c>
      <c r="H291">
        <v>152.6</v>
      </c>
      <c r="I291">
        <v>206.8</v>
      </c>
      <c r="J291">
        <v>162.1</v>
      </c>
      <c r="K291">
        <v>116.3</v>
      </c>
      <c r="L291">
        <v>163</v>
      </c>
      <c r="M291">
        <v>145.9</v>
      </c>
      <c r="N291">
        <v>167.2</v>
      </c>
      <c r="O291">
        <v>163.4</v>
      </c>
      <c r="P291">
        <v>144.1</v>
      </c>
      <c r="Q291">
        <v>152.5</v>
      </c>
      <c r="R291">
        <v>137.30000000000001</v>
      </c>
      <c r="S291">
        <v>150.19999999999999</v>
      </c>
      <c r="T291">
        <v>145.69999999999999</v>
      </c>
      <c r="U291">
        <v>157.69999999999999</v>
      </c>
      <c r="V291">
        <v>142.9</v>
      </c>
      <c r="W291">
        <v>136.9</v>
      </c>
      <c r="X291">
        <v>145.4</v>
      </c>
      <c r="Y291">
        <v>157.69999999999999</v>
      </c>
      <c r="Z291">
        <v>154.1</v>
      </c>
      <c r="AA291">
        <v>156.1</v>
      </c>
      <c r="AB291">
        <v>191.8</v>
      </c>
      <c r="AC291">
        <v>147.6</v>
      </c>
      <c r="AD291">
        <v>156</v>
      </c>
    </row>
    <row r="292" spans="1:30" x14ac:dyDescent="0.35">
      <c r="A292" t="s">
        <v>33</v>
      </c>
      <c r="B292">
        <v>2021</v>
      </c>
      <c r="C292" t="s">
        <v>31</v>
      </c>
      <c r="D292">
        <v>144.9</v>
      </c>
      <c r="E292">
        <v>190.1</v>
      </c>
      <c r="F292">
        <v>175.3</v>
      </c>
      <c r="G292">
        <v>154.1</v>
      </c>
      <c r="H292">
        <v>149.6</v>
      </c>
      <c r="I292">
        <v>194.2</v>
      </c>
      <c r="J292">
        <v>160.4</v>
      </c>
      <c r="K292">
        <v>114.6</v>
      </c>
      <c r="L292">
        <v>164</v>
      </c>
      <c r="M292">
        <v>151.80000000000001</v>
      </c>
      <c r="N292">
        <v>165.6</v>
      </c>
      <c r="O292">
        <v>161</v>
      </c>
      <c r="P292">
        <v>150.9</v>
      </c>
      <c r="Q292">
        <v>155.5</v>
      </c>
      <c r="R292">
        <v>146.1</v>
      </c>
      <c r="S292">
        <v>154.19999999999999</v>
      </c>
      <c r="T292">
        <v>150</v>
      </c>
      <c r="U292">
        <v>157.69999999999999</v>
      </c>
      <c r="V292">
        <v>147.9</v>
      </c>
      <c r="W292">
        <v>141.9</v>
      </c>
      <c r="X292">
        <v>149.6</v>
      </c>
      <c r="Y292">
        <v>156.80000000000001</v>
      </c>
      <c r="Z292">
        <v>159.30000000000001</v>
      </c>
      <c r="AA292">
        <v>159.19999999999999</v>
      </c>
      <c r="AB292">
        <v>186.5</v>
      </c>
      <c r="AC292">
        <v>151.9</v>
      </c>
      <c r="AD292">
        <v>157.30000000000001</v>
      </c>
    </row>
    <row r="293" spans="1:30" x14ac:dyDescent="0.35">
      <c r="A293" t="s">
        <v>30</v>
      </c>
      <c r="B293">
        <v>2021</v>
      </c>
      <c r="C293" t="s">
        <v>34</v>
      </c>
      <c r="D293">
        <v>142.80000000000001</v>
      </c>
      <c r="E293">
        <v>184</v>
      </c>
      <c r="F293">
        <v>168</v>
      </c>
      <c r="G293">
        <v>154.4</v>
      </c>
      <c r="H293">
        <v>147.80000000000001</v>
      </c>
      <c r="I293">
        <v>149.69999999999999</v>
      </c>
      <c r="J293">
        <v>158.30000000000001</v>
      </c>
      <c r="K293">
        <v>111.8</v>
      </c>
      <c r="L293">
        <v>165</v>
      </c>
      <c r="M293">
        <v>160</v>
      </c>
      <c r="N293">
        <v>165.8</v>
      </c>
      <c r="O293">
        <v>154.69999999999999</v>
      </c>
      <c r="P293">
        <v>163</v>
      </c>
      <c r="Q293">
        <v>159.1</v>
      </c>
      <c r="R293">
        <v>153.9</v>
      </c>
      <c r="S293">
        <v>158.4</v>
      </c>
      <c r="T293">
        <v>154.80000000000001</v>
      </c>
      <c r="U293">
        <v>139.2551</v>
      </c>
      <c r="V293">
        <v>154.4</v>
      </c>
      <c r="W293">
        <v>150.19999999999999</v>
      </c>
      <c r="X293">
        <v>157</v>
      </c>
      <c r="Y293">
        <v>155.19999999999999</v>
      </c>
      <c r="Z293">
        <v>164.3</v>
      </c>
      <c r="AA293">
        <v>163.6</v>
      </c>
      <c r="AB293">
        <v>186.5</v>
      </c>
      <c r="AC293">
        <v>157.19999999999999</v>
      </c>
      <c r="AD293">
        <v>156.69999999999999</v>
      </c>
    </row>
    <row r="294" spans="1:30" x14ac:dyDescent="0.35">
      <c r="A294" t="s">
        <v>32</v>
      </c>
      <c r="B294">
        <v>2021</v>
      </c>
      <c r="C294" t="s">
        <v>34</v>
      </c>
      <c r="D294">
        <v>147.6</v>
      </c>
      <c r="E294">
        <v>191.2</v>
      </c>
      <c r="F294">
        <v>169.9</v>
      </c>
      <c r="G294">
        <v>155.1</v>
      </c>
      <c r="H294">
        <v>154</v>
      </c>
      <c r="I294">
        <v>180.2</v>
      </c>
      <c r="J294">
        <v>159.80000000000001</v>
      </c>
      <c r="K294">
        <v>114.9</v>
      </c>
      <c r="L294">
        <v>162.5</v>
      </c>
      <c r="M294">
        <v>149.19999999999999</v>
      </c>
      <c r="N294">
        <v>169.4</v>
      </c>
      <c r="O294">
        <v>160.80000000000001</v>
      </c>
      <c r="P294">
        <v>151.4</v>
      </c>
      <c r="Q294">
        <v>154.19999999999999</v>
      </c>
      <c r="R294">
        <v>138.19999999999999</v>
      </c>
      <c r="S294">
        <v>151.80000000000001</v>
      </c>
      <c r="T294">
        <v>146.5</v>
      </c>
      <c r="U294">
        <v>159.80000000000001</v>
      </c>
      <c r="V294">
        <v>149.1</v>
      </c>
      <c r="W294">
        <v>140.5</v>
      </c>
      <c r="X294">
        <v>147.30000000000001</v>
      </c>
      <c r="Y294">
        <v>156.69999999999999</v>
      </c>
      <c r="Z294">
        <v>156.30000000000001</v>
      </c>
      <c r="AA294">
        <v>156.6</v>
      </c>
      <c r="AB294">
        <v>193.3</v>
      </c>
      <c r="AC294">
        <v>149.30000000000001</v>
      </c>
      <c r="AD294">
        <v>156.5</v>
      </c>
    </row>
    <row r="295" spans="1:30" x14ac:dyDescent="0.35">
      <c r="A295" t="s">
        <v>33</v>
      </c>
      <c r="B295">
        <v>2021</v>
      </c>
      <c r="C295" t="s">
        <v>34</v>
      </c>
      <c r="D295">
        <v>144.30000000000001</v>
      </c>
      <c r="E295">
        <v>186.5</v>
      </c>
      <c r="F295">
        <v>168.7</v>
      </c>
      <c r="G295">
        <v>154.69999999999999</v>
      </c>
      <c r="H295">
        <v>150.69999999999999</v>
      </c>
      <c r="I295">
        <v>160</v>
      </c>
      <c r="J295">
        <v>158.80000000000001</v>
      </c>
      <c r="K295">
        <v>112.8</v>
      </c>
      <c r="L295">
        <v>164.2</v>
      </c>
      <c r="M295">
        <v>155.5</v>
      </c>
      <c r="N295">
        <v>167.5</v>
      </c>
      <c r="O295">
        <v>156.9</v>
      </c>
      <c r="P295">
        <v>158.69999999999999</v>
      </c>
      <c r="Q295">
        <v>157.19999999999999</v>
      </c>
      <c r="R295">
        <v>147.4</v>
      </c>
      <c r="S295">
        <v>155.80000000000001</v>
      </c>
      <c r="T295">
        <v>150.9</v>
      </c>
      <c r="U295">
        <v>159.80000000000001</v>
      </c>
      <c r="V295">
        <v>152.4</v>
      </c>
      <c r="W295">
        <v>145.1</v>
      </c>
      <c r="X295">
        <v>151.5</v>
      </c>
      <c r="Y295">
        <v>155.80000000000001</v>
      </c>
      <c r="Z295">
        <v>161.30000000000001</v>
      </c>
      <c r="AA295">
        <v>159.5</v>
      </c>
      <c r="AB295">
        <v>188.3</v>
      </c>
      <c r="AC295">
        <v>153.4</v>
      </c>
      <c r="AD295">
        <v>156.6</v>
      </c>
    </row>
    <row r="296" spans="1:30" x14ac:dyDescent="0.35">
      <c r="A296" t="s">
        <v>30</v>
      </c>
      <c r="B296">
        <v>2021</v>
      </c>
      <c r="C296" t="s">
        <v>35</v>
      </c>
      <c r="D296">
        <v>142.5</v>
      </c>
      <c r="E296">
        <v>189.4</v>
      </c>
      <c r="F296">
        <v>163.19999999999999</v>
      </c>
      <c r="G296">
        <v>154.5</v>
      </c>
      <c r="H296">
        <v>150.5</v>
      </c>
      <c r="I296">
        <v>141</v>
      </c>
      <c r="J296">
        <v>159.19999999999999</v>
      </c>
      <c r="K296">
        <v>111.7</v>
      </c>
      <c r="L296">
        <v>164</v>
      </c>
      <c r="M296">
        <v>160.6</v>
      </c>
      <c r="N296">
        <v>166.4</v>
      </c>
      <c r="O296">
        <v>154.5</v>
      </c>
      <c r="P296">
        <v>168.2</v>
      </c>
      <c r="Q296">
        <v>159.6</v>
      </c>
      <c r="R296">
        <v>154.4</v>
      </c>
      <c r="S296">
        <v>158.9</v>
      </c>
      <c r="T296">
        <v>154.80000000000001</v>
      </c>
      <c r="U296">
        <v>139.2551</v>
      </c>
      <c r="V296">
        <v>156</v>
      </c>
      <c r="W296">
        <v>151.30000000000001</v>
      </c>
      <c r="X296">
        <v>157.80000000000001</v>
      </c>
      <c r="Y296">
        <v>153.1</v>
      </c>
      <c r="Z296">
        <v>164.6</v>
      </c>
      <c r="AA296">
        <v>163.80000000000001</v>
      </c>
      <c r="AB296">
        <v>186.1</v>
      </c>
      <c r="AC296">
        <v>157.30000000000001</v>
      </c>
      <c r="AD296">
        <v>156.69999999999999</v>
      </c>
    </row>
    <row r="297" spans="1:30" x14ac:dyDescent="0.35">
      <c r="A297" t="s">
        <v>32</v>
      </c>
      <c r="B297">
        <v>2021</v>
      </c>
      <c r="C297" t="s">
        <v>35</v>
      </c>
      <c r="D297">
        <v>147.5</v>
      </c>
      <c r="E297">
        <v>197.5</v>
      </c>
      <c r="F297">
        <v>164.7</v>
      </c>
      <c r="G297">
        <v>155.6</v>
      </c>
      <c r="H297">
        <v>157.30000000000001</v>
      </c>
      <c r="I297">
        <v>166.1</v>
      </c>
      <c r="J297">
        <v>161.1</v>
      </c>
      <c r="K297">
        <v>114.3</v>
      </c>
      <c r="L297">
        <v>162.6</v>
      </c>
      <c r="M297">
        <v>150.69999999999999</v>
      </c>
      <c r="N297">
        <v>170.3</v>
      </c>
      <c r="O297">
        <v>160.4</v>
      </c>
      <c r="P297">
        <v>156.4</v>
      </c>
      <c r="Q297">
        <v>155.1</v>
      </c>
      <c r="R297">
        <v>138.69999999999999</v>
      </c>
      <c r="S297">
        <v>152.6</v>
      </c>
      <c r="T297">
        <v>147.19999999999999</v>
      </c>
      <c r="U297">
        <v>159.9</v>
      </c>
      <c r="V297">
        <v>154.80000000000001</v>
      </c>
      <c r="W297">
        <v>141.69999999999999</v>
      </c>
      <c r="X297">
        <v>148.6</v>
      </c>
      <c r="Y297">
        <v>154.9</v>
      </c>
      <c r="Z297">
        <v>156.9</v>
      </c>
      <c r="AA297">
        <v>157.6</v>
      </c>
      <c r="AB297">
        <v>193.5</v>
      </c>
      <c r="AC297">
        <v>150</v>
      </c>
      <c r="AD297">
        <v>156.9</v>
      </c>
    </row>
    <row r="298" spans="1:30" x14ac:dyDescent="0.35">
      <c r="A298" t="s">
        <v>33</v>
      </c>
      <c r="B298">
        <v>2021</v>
      </c>
      <c r="C298" t="s">
        <v>35</v>
      </c>
      <c r="D298">
        <v>144.1</v>
      </c>
      <c r="E298">
        <v>192.2</v>
      </c>
      <c r="F298">
        <v>163.80000000000001</v>
      </c>
      <c r="G298">
        <v>154.9</v>
      </c>
      <c r="H298">
        <v>153.69999999999999</v>
      </c>
      <c r="I298">
        <v>149.5</v>
      </c>
      <c r="J298">
        <v>159.80000000000001</v>
      </c>
      <c r="K298">
        <v>112.6</v>
      </c>
      <c r="L298">
        <v>163.5</v>
      </c>
      <c r="M298">
        <v>156.5</v>
      </c>
      <c r="N298">
        <v>168.2</v>
      </c>
      <c r="O298">
        <v>156.69999999999999</v>
      </c>
      <c r="P298">
        <v>163.9</v>
      </c>
      <c r="Q298">
        <v>157.80000000000001</v>
      </c>
      <c r="R298">
        <v>147.9</v>
      </c>
      <c r="S298">
        <v>156.4</v>
      </c>
      <c r="T298">
        <v>151.19999999999999</v>
      </c>
      <c r="U298">
        <v>159.9</v>
      </c>
      <c r="V298">
        <v>155.5</v>
      </c>
      <c r="W298">
        <v>146.19999999999999</v>
      </c>
      <c r="X298">
        <v>152.6</v>
      </c>
      <c r="Y298">
        <v>153.80000000000001</v>
      </c>
      <c r="Z298">
        <v>161.69999999999999</v>
      </c>
      <c r="AA298">
        <v>160.19999999999999</v>
      </c>
      <c r="AB298">
        <v>188.1</v>
      </c>
      <c r="AC298">
        <v>153.80000000000001</v>
      </c>
      <c r="AD298">
        <v>156.80000000000001</v>
      </c>
    </row>
    <row r="299" spans="1:30" x14ac:dyDescent="0.35">
      <c r="A299" t="s">
        <v>30</v>
      </c>
      <c r="B299">
        <v>2021</v>
      </c>
      <c r="C299" t="s">
        <v>36</v>
      </c>
      <c r="D299">
        <v>142.69999999999999</v>
      </c>
      <c r="E299">
        <v>195.5</v>
      </c>
      <c r="F299">
        <v>163.4</v>
      </c>
      <c r="G299">
        <v>155</v>
      </c>
      <c r="H299">
        <v>160.6</v>
      </c>
      <c r="I299">
        <v>135.1</v>
      </c>
      <c r="J299">
        <v>161.1</v>
      </c>
      <c r="K299">
        <v>112.2</v>
      </c>
      <c r="L299">
        <v>164.4</v>
      </c>
      <c r="M299">
        <v>161.9</v>
      </c>
      <c r="N299">
        <v>166.8</v>
      </c>
      <c r="O299">
        <v>155.6</v>
      </c>
      <c r="P299">
        <v>175.2</v>
      </c>
      <c r="Q299">
        <v>160.69999999999999</v>
      </c>
      <c r="R299">
        <v>155.1</v>
      </c>
      <c r="S299">
        <v>159.9</v>
      </c>
      <c r="T299">
        <v>155.5</v>
      </c>
      <c r="U299">
        <v>139.2551</v>
      </c>
      <c r="V299">
        <v>156</v>
      </c>
      <c r="W299">
        <v>151.69999999999999</v>
      </c>
      <c r="X299">
        <v>158.6</v>
      </c>
      <c r="Y299">
        <v>154.6</v>
      </c>
      <c r="Z299">
        <v>165.3</v>
      </c>
      <c r="AA299">
        <v>164.1</v>
      </c>
      <c r="AB299">
        <v>186.8</v>
      </c>
      <c r="AC299">
        <v>158</v>
      </c>
      <c r="AD299">
        <v>157.6</v>
      </c>
    </row>
    <row r="300" spans="1:30" x14ac:dyDescent="0.35">
      <c r="A300" t="s">
        <v>32</v>
      </c>
      <c r="B300">
        <v>2021</v>
      </c>
      <c r="C300" t="s">
        <v>36</v>
      </c>
      <c r="D300">
        <v>147.6</v>
      </c>
      <c r="E300">
        <v>202.5</v>
      </c>
      <c r="F300">
        <v>166.4</v>
      </c>
      <c r="G300">
        <v>156</v>
      </c>
      <c r="H300">
        <v>168.8</v>
      </c>
      <c r="I300">
        <v>161.6</v>
      </c>
      <c r="J300">
        <v>162.80000000000001</v>
      </c>
      <c r="K300">
        <v>114.8</v>
      </c>
      <c r="L300">
        <v>162.80000000000001</v>
      </c>
      <c r="M300">
        <v>151.5</v>
      </c>
      <c r="N300">
        <v>171.4</v>
      </c>
      <c r="O300">
        <v>162</v>
      </c>
      <c r="P300">
        <v>161.4</v>
      </c>
      <c r="Q300">
        <v>155.9</v>
      </c>
      <c r="R300">
        <v>139.30000000000001</v>
      </c>
      <c r="S300">
        <v>153.4</v>
      </c>
      <c r="T300">
        <v>147.6</v>
      </c>
      <c r="U300">
        <v>161.4</v>
      </c>
      <c r="V300">
        <v>154.9</v>
      </c>
      <c r="W300">
        <v>142.1</v>
      </c>
      <c r="X300">
        <v>149.1</v>
      </c>
      <c r="Y300">
        <v>156.6</v>
      </c>
      <c r="Z300">
        <v>157.5</v>
      </c>
      <c r="AA300">
        <v>157.6</v>
      </c>
      <c r="AB300">
        <v>194.4</v>
      </c>
      <c r="AC300">
        <v>150.5</v>
      </c>
      <c r="AD300">
        <v>158</v>
      </c>
    </row>
    <row r="301" spans="1:30" x14ac:dyDescent="0.35">
      <c r="A301" t="s">
        <v>33</v>
      </c>
      <c r="B301">
        <v>2021</v>
      </c>
      <c r="C301" t="s">
        <v>36</v>
      </c>
      <c r="D301">
        <v>144.30000000000001</v>
      </c>
      <c r="E301">
        <v>198</v>
      </c>
      <c r="F301">
        <v>164.6</v>
      </c>
      <c r="G301">
        <v>155.4</v>
      </c>
      <c r="H301">
        <v>164.4</v>
      </c>
      <c r="I301">
        <v>144.1</v>
      </c>
      <c r="J301">
        <v>161.69999999999999</v>
      </c>
      <c r="K301">
        <v>113.1</v>
      </c>
      <c r="L301">
        <v>163.9</v>
      </c>
      <c r="M301">
        <v>157.6</v>
      </c>
      <c r="N301">
        <v>168.9</v>
      </c>
      <c r="O301">
        <v>158</v>
      </c>
      <c r="P301">
        <v>170.1</v>
      </c>
      <c r="Q301">
        <v>158.80000000000001</v>
      </c>
      <c r="R301">
        <v>148.5</v>
      </c>
      <c r="S301">
        <v>157.30000000000001</v>
      </c>
      <c r="T301">
        <v>151.80000000000001</v>
      </c>
      <c r="U301">
        <v>161.4</v>
      </c>
      <c r="V301">
        <v>155.6</v>
      </c>
      <c r="W301">
        <v>146.6</v>
      </c>
      <c r="X301">
        <v>153.19999999999999</v>
      </c>
      <c r="Y301">
        <v>155.4</v>
      </c>
      <c r="Z301">
        <v>162.30000000000001</v>
      </c>
      <c r="AA301">
        <v>160.30000000000001</v>
      </c>
      <c r="AB301">
        <v>188.8</v>
      </c>
      <c r="AC301">
        <v>154.4</v>
      </c>
      <c r="AD301">
        <v>157.80000000000001</v>
      </c>
    </row>
    <row r="302" spans="1:30" x14ac:dyDescent="0.35">
      <c r="A302" t="s">
        <v>30</v>
      </c>
      <c r="B302">
        <v>2021</v>
      </c>
      <c r="C302" t="s">
        <v>37</v>
      </c>
      <c r="D302">
        <v>145.1</v>
      </c>
      <c r="E302">
        <v>198.5</v>
      </c>
      <c r="F302">
        <v>168.6</v>
      </c>
      <c r="G302">
        <v>155.80000000000001</v>
      </c>
      <c r="H302">
        <v>162.30000000000001</v>
      </c>
      <c r="I302">
        <v>138.4</v>
      </c>
      <c r="J302">
        <v>165.1</v>
      </c>
      <c r="K302">
        <v>114.3</v>
      </c>
      <c r="L302">
        <v>169.7</v>
      </c>
      <c r="M302">
        <v>164.6</v>
      </c>
      <c r="N302">
        <v>169.8</v>
      </c>
      <c r="O302">
        <v>158.69999999999999</v>
      </c>
      <c r="P302">
        <v>184.4</v>
      </c>
      <c r="Q302">
        <v>165.3</v>
      </c>
      <c r="R302">
        <v>160.6</v>
      </c>
      <c r="S302">
        <v>164.5</v>
      </c>
      <c r="T302">
        <v>158.80000000000001</v>
      </c>
      <c r="U302">
        <v>139.2551</v>
      </c>
      <c r="V302">
        <v>161.69999999999999</v>
      </c>
      <c r="W302">
        <v>153.19999999999999</v>
      </c>
      <c r="X302">
        <v>160</v>
      </c>
      <c r="Y302">
        <v>159.30000000000001</v>
      </c>
      <c r="Z302">
        <v>169.1</v>
      </c>
      <c r="AA302">
        <v>167.6</v>
      </c>
      <c r="AB302">
        <v>189.6</v>
      </c>
      <c r="AC302">
        <v>161.1</v>
      </c>
      <c r="AD302">
        <v>161.1</v>
      </c>
    </row>
    <row r="303" spans="1:30" x14ac:dyDescent="0.35">
      <c r="A303" t="s">
        <v>32</v>
      </c>
      <c r="B303">
        <v>2021</v>
      </c>
      <c r="C303" t="s">
        <v>37</v>
      </c>
      <c r="D303">
        <v>148.80000000000001</v>
      </c>
      <c r="E303">
        <v>204.3</v>
      </c>
      <c r="F303">
        <v>173</v>
      </c>
      <c r="G303">
        <v>156.5</v>
      </c>
      <c r="H303">
        <v>172.5</v>
      </c>
      <c r="I303">
        <v>166.5</v>
      </c>
      <c r="J303">
        <v>165.9</v>
      </c>
      <c r="K303">
        <v>115.9</v>
      </c>
      <c r="L303">
        <v>165.2</v>
      </c>
      <c r="M303">
        <v>152</v>
      </c>
      <c r="N303">
        <v>171.1</v>
      </c>
      <c r="O303">
        <v>164.2</v>
      </c>
      <c r="P303">
        <v>168.8</v>
      </c>
      <c r="Q303">
        <v>156.5</v>
      </c>
      <c r="R303">
        <v>140.19999999999999</v>
      </c>
      <c r="S303">
        <v>154.1</v>
      </c>
      <c r="T303">
        <v>150.1</v>
      </c>
      <c r="U303">
        <v>161.6</v>
      </c>
      <c r="V303">
        <v>155.5</v>
      </c>
      <c r="W303">
        <v>145</v>
      </c>
      <c r="X303">
        <v>152.6</v>
      </c>
      <c r="Y303">
        <v>157.5</v>
      </c>
      <c r="Z303">
        <v>160.4</v>
      </c>
      <c r="AA303">
        <v>156.6</v>
      </c>
      <c r="AB303">
        <v>198.2</v>
      </c>
      <c r="AC303">
        <v>152.30000000000001</v>
      </c>
      <c r="AD303">
        <v>159.5</v>
      </c>
    </row>
    <row r="304" spans="1:30" x14ac:dyDescent="0.35">
      <c r="A304" t="s">
        <v>33</v>
      </c>
      <c r="B304">
        <v>2021</v>
      </c>
      <c r="C304" t="s">
        <v>37</v>
      </c>
      <c r="D304">
        <v>146.30000000000001</v>
      </c>
      <c r="E304">
        <v>200.5</v>
      </c>
      <c r="F304">
        <v>170.3</v>
      </c>
      <c r="G304">
        <v>156.1</v>
      </c>
      <c r="H304">
        <v>167.1</v>
      </c>
      <c r="I304">
        <v>147.9</v>
      </c>
      <c r="J304">
        <v>165.4</v>
      </c>
      <c r="K304">
        <v>114.8</v>
      </c>
      <c r="L304">
        <v>168.2</v>
      </c>
      <c r="M304">
        <v>159.30000000000001</v>
      </c>
      <c r="N304">
        <v>170.4</v>
      </c>
      <c r="O304">
        <v>160.69999999999999</v>
      </c>
      <c r="P304">
        <v>178.7</v>
      </c>
      <c r="Q304">
        <v>161.80000000000001</v>
      </c>
      <c r="R304">
        <v>152.1</v>
      </c>
      <c r="S304">
        <v>160.4</v>
      </c>
      <c r="T304">
        <v>154.69999999999999</v>
      </c>
      <c r="U304">
        <v>161.6</v>
      </c>
      <c r="V304">
        <v>159.4</v>
      </c>
      <c r="W304">
        <v>148.9</v>
      </c>
      <c r="X304">
        <v>155.80000000000001</v>
      </c>
      <c r="Y304">
        <v>158.6</v>
      </c>
      <c r="Z304">
        <v>165.8</v>
      </c>
      <c r="AA304">
        <v>161.19999999999999</v>
      </c>
      <c r="AB304">
        <v>191.9</v>
      </c>
      <c r="AC304">
        <v>156.80000000000001</v>
      </c>
      <c r="AD304">
        <v>160.4</v>
      </c>
    </row>
    <row r="305" spans="1:30" x14ac:dyDescent="0.35">
      <c r="A305" t="s">
        <v>30</v>
      </c>
      <c r="B305">
        <v>2021</v>
      </c>
      <c r="C305" t="s">
        <v>38</v>
      </c>
      <c r="D305">
        <v>145.6</v>
      </c>
      <c r="E305">
        <v>200.1</v>
      </c>
      <c r="F305">
        <v>179.3</v>
      </c>
      <c r="G305">
        <v>156.1</v>
      </c>
      <c r="H305">
        <v>158.6</v>
      </c>
      <c r="I305">
        <v>144.69999999999999</v>
      </c>
      <c r="J305">
        <v>165.5</v>
      </c>
      <c r="K305">
        <v>114.6</v>
      </c>
      <c r="L305">
        <v>170</v>
      </c>
      <c r="M305">
        <v>165.5</v>
      </c>
      <c r="N305">
        <v>171.7</v>
      </c>
      <c r="O305">
        <v>160.5</v>
      </c>
      <c r="P305">
        <v>190.4</v>
      </c>
      <c r="Q305">
        <v>165.3</v>
      </c>
      <c r="R305">
        <v>159.9</v>
      </c>
      <c r="S305">
        <v>164.6</v>
      </c>
      <c r="T305">
        <v>159.19999999999999</v>
      </c>
      <c r="U305">
        <v>139.2551</v>
      </c>
      <c r="V305">
        <v>162.1</v>
      </c>
      <c r="W305">
        <v>154.19999999999999</v>
      </c>
      <c r="X305">
        <v>160.4</v>
      </c>
      <c r="Y305">
        <v>159.4</v>
      </c>
      <c r="Z305">
        <v>169.7</v>
      </c>
      <c r="AA305">
        <v>166.8</v>
      </c>
      <c r="AB305">
        <v>189.1</v>
      </c>
      <c r="AC305">
        <v>161.5</v>
      </c>
      <c r="AD305">
        <v>162.1</v>
      </c>
    </row>
    <row r="306" spans="1:30" x14ac:dyDescent="0.35">
      <c r="A306" t="s">
        <v>32</v>
      </c>
      <c r="B306">
        <v>2021</v>
      </c>
      <c r="C306" t="s">
        <v>38</v>
      </c>
      <c r="D306">
        <v>149.19999999999999</v>
      </c>
      <c r="E306">
        <v>205.5</v>
      </c>
      <c r="F306">
        <v>182.8</v>
      </c>
      <c r="G306">
        <v>156.5</v>
      </c>
      <c r="H306">
        <v>171.5</v>
      </c>
      <c r="I306">
        <v>176.2</v>
      </c>
      <c r="J306">
        <v>166.9</v>
      </c>
      <c r="K306">
        <v>116.1</v>
      </c>
      <c r="L306">
        <v>165.5</v>
      </c>
      <c r="M306">
        <v>152.30000000000001</v>
      </c>
      <c r="N306">
        <v>173.3</v>
      </c>
      <c r="O306">
        <v>166.2</v>
      </c>
      <c r="P306">
        <v>172.2</v>
      </c>
      <c r="Q306">
        <v>157.30000000000001</v>
      </c>
      <c r="R306">
        <v>140.5</v>
      </c>
      <c r="S306">
        <v>154.80000000000001</v>
      </c>
      <c r="T306">
        <v>149.80000000000001</v>
      </c>
      <c r="U306">
        <v>160.5</v>
      </c>
      <c r="V306">
        <v>156.1</v>
      </c>
      <c r="W306">
        <v>147.5</v>
      </c>
      <c r="X306">
        <v>150.69999999999999</v>
      </c>
      <c r="Y306">
        <v>158</v>
      </c>
      <c r="Z306">
        <v>160.80000000000001</v>
      </c>
      <c r="AA306">
        <v>158.1</v>
      </c>
      <c r="AB306">
        <v>195.6</v>
      </c>
      <c r="AC306">
        <v>153.4</v>
      </c>
      <c r="AD306">
        <v>160.4</v>
      </c>
    </row>
    <row r="307" spans="1:30" x14ac:dyDescent="0.35">
      <c r="A307" t="s">
        <v>33</v>
      </c>
      <c r="B307">
        <v>2021</v>
      </c>
      <c r="C307" t="s">
        <v>38</v>
      </c>
      <c r="D307">
        <v>146.69999999999999</v>
      </c>
      <c r="E307">
        <v>202</v>
      </c>
      <c r="F307">
        <v>180.7</v>
      </c>
      <c r="G307">
        <v>156.19999999999999</v>
      </c>
      <c r="H307">
        <v>164.6</v>
      </c>
      <c r="I307">
        <v>155.4</v>
      </c>
      <c r="J307">
        <v>166</v>
      </c>
      <c r="K307">
        <v>115.1</v>
      </c>
      <c r="L307">
        <v>168.5</v>
      </c>
      <c r="M307">
        <v>160</v>
      </c>
      <c r="N307">
        <v>172.4</v>
      </c>
      <c r="O307">
        <v>162.6</v>
      </c>
      <c r="P307">
        <v>183.7</v>
      </c>
      <c r="Q307">
        <v>162.19999999999999</v>
      </c>
      <c r="R307">
        <v>151.80000000000001</v>
      </c>
      <c r="S307">
        <v>160.69999999999999</v>
      </c>
      <c r="T307">
        <v>154.80000000000001</v>
      </c>
      <c r="U307">
        <v>160.5</v>
      </c>
      <c r="V307">
        <v>159.80000000000001</v>
      </c>
      <c r="W307">
        <v>150.69999999999999</v>
      </c>
      <c r="X307">
        <v>154.9</v>
      </c>
      <c r="Y307">
        <v>158.80000000000001</v>
      </c>
      <c r="Z307">
        <v>166.3</v>
      </c>
      <c r="AA307">
        <v>161.69999999999999</v>
      </c>
      <c r="AB307">
        <v>190.8</v>
      </c>
      <c r="AC307">
        <v>157.6</v>
      </c>
      <c r="AD307">
        <v>161.30000000000001</v>
      </c>
    </row>
    <row r="308" spans="1:30" x14ac:dyDescent="0.35">
      <c r="A308" t="s">
        <v>30</v>
      </c>
      <c r="B308">
        <v>2021</v>
      </c>
      <c r="C308" t="s">
        <v>39</v>
      </c>
      <c r="D308">
        <v>145.1</v>
      </c>
      <c r="E308">
        <v>204.5</v>
      </c>
      <c r="F308">
        <v>180.4</v>
      </c>
      <c r="G308">
        <v>157.1</v>
      </c>
      <c r="H308">
        <v>157.69999999999999</v>
      </c>
      <c r="I308">
        <v>152.80000000000001</v>
      </c>
      <c r="J308">
        <v>163.6</v>
      </c>
      <c r="K308">
        <v>113.9</v>
      </c>
      <c r="L308">
        <v>169.7</v>
      </c>
      <c r="M308">
        <v>166.2</v>
      </c>
      <c r="N308">
        <v>171</v>
      </c>
      <c r="O308">
        <v>161.69999999999999</v>
      </c>
      <c r="P308">
        <v>188.7</v>
      </c>
      <c r="Q308">
        <v>166</v>
      </c>
      <c r="R308">
        <v>161.1</v>
      </c>
      <c r="S308">
        <v>165.3</v>
      </c>
      <c r="T308">
        <v>160.30000000000001</v>
      </c>
      <c r="U308">
        <v>139.2551</v>
      </c>
      <c r="V308">
        <v>162.5</v>
      </c>
      <c r="W308">
        <v>157.1</v>
      </c>
      <c r="X308">
        <v>160.69999999999999</v>
      </c>
      <c r="Y308">
        <v>160.4</v>
      </c>
      <c r="Z308">
        <v>170.4</v>
      </c>
      <c r="AA308">
        <v>167.2</v>
      </c>
      <c r="AB308">
        <v>189.7</v>
      </c>
      <c r="AC308">
        <v>162.80000000000001</v>
      </c>
      <c r="AD308">
        <v>163.19999999999999</v>
      </c>
    </row>
    <row r="309" spans="1:30" x14ac:dyDescent="0.35">
      <c r="A309" t="s">
        <v>32</v>
      </c>
      <c r="B309">
        <v>2021</v>
      </c>
      <c r="C309" t="s">
        <v>39</v>
      </c>
      <c r="D309">
        <v>149.1</v>
      </c>
      <c r="E309">
        <v>210.9</v>
      </c>
      <c r="F309">
        <v>185</v>
      </c>
      <c r="G309">
        <v>158.19999999999999</v>
      </c>
      <c r="H309">
        <v>170.9</v>
      </c>
      <c r="I309">
        <v>186.4</v>
      </c>
      <c r="J309">
        <v>164.7</v>
      </c>
      <c r="K309">
        <v>115.7</v>
      </c>
      <c r="L309">
        <v>165.5</v>
      </c>
      <c r="M309">
        <v>153.4</v>
      </c>
      <c r="N309">
        <v>173.5</v>
      </c>
      <c r="O309">
        <v>167.9</v>
      </c>
      <c r="P309">
        <v>170.6</v>
      </c>
      <c r="Q309">
        <v>157.9</v>
      </c>
      <c r="R309">
        <v>141.9</v>
      </c>
      <c r="S309">
        <v>155.5</v>
      </c>
      <c r="T309">
        <v>150.69999999999999</v>
      </c>
      <c r="U309">
        <v>161.5</v>
      </c>
      <c r="V309">
        <v>157.69999999999999</v>
      </c>
      <c r="W309">
        <v>149.5</v>
      </c>
      <c r="X309">
        <v>151.19999999999999</v>
      </c>
      <c r="Y309">
        <v>159.6</v>
      </c>
      <c r="Z309">
        <v>161.5</v>
      </c>
      <c r="AA309">
        <v>160.30000000000001</v>
      </c>
      <c r="AB309">
        <v>195.5</v>
      </c>
      <c r="AC309">
        <v>155</v>
      </c>
      <c r="AD309">
        <v>161.80000000000001</v>
      </c>
    </row>
    <row r="310" spans="1:30" x14ac:dyDescent="0.35">
      <c r="A310" t="s">
        <v>33</v>
      </c>
      <c r="B310">
        <v>2021</v>
      </c>
      <c r="C310" t="s">
        <v>39</v>
      </c>
      <c r="D310">
        <v>146.4</v>
      </c>
      <c r="E310">
        <v>206.8</v>
      </c>
      <c r="F310">
        <v>182.2</v>
      </c>
      <c r="G310">
        <v>157.5</v>
      </c>
      <c r="H310">
        <v>163.9</v>
      </c>
      <c r="I310">
        <v>164.2</v>
      </c>
      <c r="J310">
        <v>164</v>
      </c>
      <c r="K310">
        <v>114.5</v>
      </c>
      <c r="L310">
        <v>168.3</v>
      </c>
      <c r="M310">
        <v>160.9</v>
      </c>
      <c r="N310">
        <v>172.2</v>
      </c>
      <c r="O310">
        <v>164</v>
      </c>
      <c r="P310">
        <v>182.1</v>
      </c>
      <c r="Q310">
        <v>162.80000000000001</v>
      </c>
      <c r="R310">
        <v>153.1</v>
      </c>
      <c r="S310">
        <v>161.4</v>
      </c>
      <c r="T310">
        <v>155.80000000000001</v>
      </c>
      <c r="U310">
        <v>161.5</v>
      </c>
      <c r="V310">
        <v>160.69999999999999</v>
      </c>
      <c r="W310">
        <v>153.1</v>
      </c>
      <c r="X310">
        <v>155.30000000000001</v>
      </c>
      <c r="Y310">
        <v>160.1</v>
      </c>
      <c r="Z310">
        <v>167</v>
      </c>
      <c r="AA310">
        <v>163.19999999999999</v>
      </c>
      <c r="AB310">
        <v>191.2</v>
      </c>
      <c r="AC310">
        <v>159</v>
      </c>
      <c r="AD310">
        <v>162.5</v>
      </c>
    </row>
    <row r="311" spans="1:30" x14ac:dyDescent="0.35">
      <c r="A311" t="s">
        <v>30</v>
      </c>
      <c r="B311">
        <v>2021</v>
      </c>
      <c r="C311" t="s">
        <v>40</v>
      </c>
      <c r="D311">
        <v>144.9</v>
      </c>
      <c r="E311">
        <v>202.3</v>
      </c>
      <c r="F311">
        <v>176.5</v>
      </c>
      <c r="G311">
        <v>157.5</v>
      </c>
      <c r="H311">
        <v>155.69999999999999</v>
      </c>
      <c r="I311">
        <v>153.9</v>
      </c>
      <c r="J311">
        <v>162.80000000000001</v>
      </c>
      <c r="K311">
        <v>115.2</v>
      </c>
      <c r="L311">
        <v>169.8</v>
      </c>
      <c r="M311">
        <v>167.6</v>
      </c>
      <c r="N311">
        <v>171.9</v>
      </c>
      <c r="O311">
        <v>161.80000000000001</v>
      </c>
      <c r="P311">
        <v>190.9</v>
      </c>
      <c r="Q311">
        <v>167</v>
      </c>
      <c r="R311">
        <v>162.6</v>
      </c>
      <c r="S311">
        <v>166.3</v>
      </c>
      <c r="T311">
        <v>160.9</v>
      </c>
      <c r="U311">
        <v>139.2551</v>
      </c>
      <c r="V311">
        <v>163.1</v>
      </c>
      <c r="W311">
        <v>157.69999999999999</v>
      </c>
      <c r="X311">
        <v>161.1</v>
      </c>
      <c r="Y311">
        <v>160.30000000000001</v>
      </c>
      <c r="Z311">
        <v>171.1</v>
      </c>
      <c r="AA311">
        <v>167.5</v>
      </c>
      <c r="AB311">
        <v>190.2</v>
      </c>
      <c r="AC311">
        <v>163.30000000000001</v>
      </c>
      <c r="AD311">
        <v>163.6</v>
      </c>
    </row>
    <row r="312" spans="1:30" x14ac:dyDescent="0.35">
      <c r="A312" t="s">
        <v>32</v>
      </c>
      <c r="B312">
        <v>2021</v>
      </c>
      <c r="C312" t="s">
        <v>40</v>
      </c>
      <c r="D312">
        <v>149.30000000000001</v>
      </c>
      <c r="E312">
        <v>207.4</v>
      </c>
      <c r="F312">
        <v>174.1</v>
      </c>
      <c r="G312">
        <v>159.19999999999999</v>
      </c>
      <c r="H312">
        <v>161.30000000000001</v>
      </c>
      <c r="I312">
        <v>183.3</v>
      </c>
      <c r="J312">
        <v>164.5</v>
      </c>
      <c r="K312">
        <v>120.4</v>
      </c>
      <c r="L312">
        <v>166.2</v>
      </c>
      <c r="M312">
        <v>154.80000000000001</v>
      </c>
      <c r="N312">
        <v>175.1</v>
      </c>
      <c r="O312">
        <v>167.3</v>
      </c>
      <c r="P312">
        <v>175</v>
      </c>
      <c r="Q312">
        <v>159.80000000000001</v>
      </c>
      <c r="R312">
        <v>143.6</v>
      </c>
      <c r="S312">
        <v>157.30000000000001</v>
      </c>
      <c r="T312">
        <v>153.19999999999999</v>
      </c>
      <c r="U312">
        <v>162.1</v>
      </c>
      <c r="V312">
        <v>160.69999999999999</v>
      </c>
      <c r="W312">
        <v>150.4</v>
      </c>
      <c r="X312">
        <v>153.69999999999999</v>
      </c>
      <c r="Y312">
        <v>159.6</v>
      </c>
      <c r="Z312">
        <v>162.80000000000001</v>
      </c>
      <c r="AA312">
        <v>160.4</v>
      </c>
      <c r="AB312">
        <v>196.5</v>
      </c>
      <c r="AC312">
        <v>156</v>
      </c>
      <c r="AD312">
        <v>162.30000000000001</v>
      </c>
    </row>
    <row r="313" spans="1:30" x14ac:dyDescent="0.35">
      <c r="A313" t="s">
        <v>33</v>
      </c>
      <c r="B313">
        <v>2021</v>
      </c>
      <c r="C313" t="s">
        <v>40</v>
      </c>
      <c r="D313">
        <v>146.6</v>
      </c>
      <c r="E313">
        <v>204</v>
      </c>
      <c r="F313">
        <v>172.8</v>
      </c>
      <c r="G313">
        <v>158.4</v>
      </c>
      <c r="H313">
        <v>156.80000000000001</v>
      </c>
      <c r="I313">
        <v>162.19999999999999</v>
      </c>
      <c r="J313">
        <v>164.1</v>
      </c>
      <c r="K313">
        <v>119.7</v>
      </c>
      <c r="L313">
        <v>168.8</v>
      </c>
      <c r="M313">
        <v>162.69999999999999</v>
      </c>
      <c r="N313">
        <v>173.9</v>
      </c>
      <c r="O313">
        <v>164</v>
      </c>
      <c r="P313">
        <v>188</v>
      </c>
      <c r="Q313">
        <v>164.5</v>
      </c>
      <c r="R313">
        <v>155.30000000000001</v>
      </c>
      <c r="S313">
        <v>163.19999999999999</v>
      </c>
      <c r="T313">
        <v>157.5</v>
      </c>
      <c r="U313">
        <v>162.1</v>
      </c>
      <c r="V313">
        <v>162.6</v>
      </c>
      <c r="W313">
        <v>154</v>
      </c>
      <c r="X313">
        <v>157.6</v>
      </c>
      <c r="Y313">
        <v>160</v>
      </c>
      <c r="Z313">
        <v>168.4</v>
      </c>
      <c r="AA313">
        <v>163.80000000000001</v>
      </c>
      <c r="AB313">
        <v>192.1</v>
      </c>
      <c r="AC313">
        <v>160</v>
      </c>
      <c r="AD313">
        <v>163.19999999999999</v>
      </c>
    </row>
    <row r="314" spans="1:30" x14ac:dyDescent="0.35">
      <c r="A314" t="s">
        <v>30</v>
      </c>
      <c r="B314">
        <v>2021</v>
      </c>
      <c r="C314" t="s">
        <v>41</v>
      </c>
      <c r="D314">
        <v>145.4</v>
      </c>
      <c r="E314">
        <v>202.1</v>
      </c>
      <c r="F314">
        <v>172</v>
      </c>
      <c r="G314">
        <v>158</v>
      </c>
      <c r="H314">
        <v>152.69999999999999</v>
      </c>
      <c r="I314">
        <v>151.4</v>
      </c>
      <c r="J314">
        <v>163.9</v>
      </c>
      <c r="K314">
        <v>119.3</v>
      </c>
      <c r="L314">
        <v>170.1</v>
      </c>
      <c r="M314">
        <v>168.3</v>
      </c>
      <c r="N314">
        <v>172.8</v>
      </c>
      <c r="O314">
        <v>162.1</v>
      </c>
      <c r="P314">
        <v>195.5</v>
      </c>
      <c r="Q314">
        <v>167.7</v>
      </c>
      <c r="R314">
        <v>163.6</v>
      </c>
      <c r="S314">
        <v>167.1</v>
      </c>
      <c r="T314">
        <v>161.30000000000001</v>
      </c>
      <c r="U314">
        <v>139.2551</v>
      </c>
      <c r="V314">
        <v>163.69999999999999</v>
      </c>
      <c r="W314">
        <v>157.80000000000001</v>
      </c>
      <c r="X314">
        <v>162.69999999999999</v>
      </c>
      <c r="Y314">
        <v>160.19999999999999</v>
      </c>
      <c r="Z314">
        <v>171.9</v>
      </c>
      <c r="AA314">
        <v>168.5</v>
      </c>
      <c r="AB314">
        <v>190.5</v>
      </c>
      <c r="AC314">
        <v>163.80000000000001</v>
      </c>
      <c r="AD314">
        <v>164</v>
      </c>
    </row>
    <row r="315" spans="1:30" x14ac:dyDescent="0.35">
      <c r="A315" t="s">
        <v>32</v>
      </c>
      <c r="B315">
        <v>2021</v>
      </c>
      <c r="C315" t="s">
        <v>41</v>
      </c>
      <c r="D315">
        <v>149.30000000000001</v>
      </c>
      <c r="E315">
        <v>207.4</v>
      </c>
      <c r="F315">
        <v>174.1</v>
      </c>
      <c r="G315">
        <v>159.1</v>
      </c>
      <c r="H315">
        <v>161.19999999999999</v>
      </c>
      <c r="I315">
        <v>183.5</v>
      </c>
      <c r="J315">
        <v>164.5</v>
      </c>
      <c r="K315">
        <v>120.4</v>
      </c>
      <c r="L315">
        <v>166.2</v>
      </c>
      <c r="M315">
        <v>154.80000000000001</v>
      </c>
      <c r="N315">
        <v>175.1</v>
      </c>
      <c r="O315">
        <v>167.3</v>
      </c>
      <c r="P315">
        <v>175</v>
      </c>
      <c r="Q315">
        <v>159.80000000000001</v>
      </c>
      <c r="R315">
        <v>143.6</v>
      </c>
      <c r="S315">
        <v>157.4</v>
      </c>
      <c r="T315">
        <v>153.30000000000001</v>
      </c>
      <c r="U315">
        <v>162.1</v>
      </c>
      <c r="V315">
        <v>160.80000000000001</v>
      </c>
      <c r="W315">
        <v>150.5</v>
      </c>
      <c r="X315">
        <v>153.9</v>
      </c>
      <c r="Y315">
        <v>159.6</v>
      </c>
      <c r="Z315">
        <v>162.80000000000001</v>
      </c>
      <c r="AA315">
        <v>160.30000000000001</v>
      </c>
      <c r="AB315">
        <v>196.5</v>
      </c>
      <c r="AC315">
        <v>156</v>
      </c>
      <c r="AD315">
        <v>162.30000000000001</v>
      </c>
    </row>
    <row r="316" spans="1:30" x14ac:dyDescent="0.35">
      <c r="A316" t="s">
        <v>33</v>
      </c>
      <c r="B316">
        <v>2021</v>
      </c>
      <c r="C316" t="s">
        <v>41</v>
      </c>
      <c r="D316">
        <v>146.6</v>
      </c>
      <c r="E316">
        <v>204</v>
      </c>
      <c r="F316">
        <v>172.8</v>
      </c>
      <c r="G316">
        <v>158.4</v>
      </c>
      <c r="H316">
        <v>156.69999999999999</v>
      </c>
      <c r="I316">
        <v>162.30000000000001</v>
      </c>
      <c r="J316">
        <v>164.1</v>
      </c>
      <c r="K316">
        <v>119.7</v>
      </c>
      <c r="L316">
        <v>168.8</v>
      </c>
      <c r="M316">
        <v>162.69999999999999</v>
      </c>
      <c r="N316">
        <v>173.9</v>
      </c>
      <c r="O316">
        <v>164</v>
      </c>
      <c r="P316">
        <v>188</v>
      </c>
      <c r="Q316">
        <v>164.6</v>
      </c>
      <c r="R316">
        <v>155.30000000000001</v>
      </c>
      <c r="S316">
        <v>163.30000000000001</v>
      </c>
      <c r="T316">
        <v>157.5</v>
      </c>
      <c r="U316">
        <v>162.1</v>
      </c>
      <c r="V316">
        <v>162.6</v>
      </c>
      <c r="W316">
        <v>154</v>
      </c>
      <c r="X316">
        <v>157.69999999999999</v>
      </c>
      <c r="Y316">
        <v>160</v>
      </c>
      <c r="Z316">
        <v>168.4</v>
      </c>
      <c r="AA316">
        <v>163.69999999999999</v>
      </c>
      <c r="AB316">
        <v>192.1</v>
      </c>
      <c r="AC316">
        <v>160</v>
      </c>
      <c r="AD316">
        <v>163.19999999999999</v>
      </c>
    </row>
    <row r="317" spans="1:30" x14ac:dyDescent="0.35">
      <c r="A317" t="s">
        <v>30</v>
      </c>
      <c r="B317">
        <v>2021</v>
      </c>
      <c r="C317" t="s">
        <v>42</v>
      </c>
      <c r="D317">
        <v>146.1</v>
      </c>
      <c r="E317">
        <v>202.5</v>
      </c>
      <c r="F317">
        <v>170.1</v>
      </c>
      <c r="G317">
        <v>158.4</v>
      </c>
      <c r="H317">
        <v>152.6</v>
      </c>
      <c r="I317">
        <v>170.4</v>
      </c>
      <c r="J317">
        <v>165.2</v>
      </c>
      <c r="K317">
        <v>121.6</v>
      </c>
      <c r="L317">
        <v>170.6</v>
      </c>
      <c r="M317">
        <v>168.8</v>
      </c>
      <c r="N317">
        <v>173.6</v>
      </c>
      <c r="O317">
        <v>165.5</v>
      </c>
      <c r="P317">
        <v>198.8</v>
      </c>
      <c r="Q317">
        <v>168.9</v>
      </c>
      <c r="R317">
        <v>164.8</v>
      </c>
      <c r="S317">
        <v>168.3</v>
      </c>
      <c r="T317">
        <v>162</v>
      </c>
      <c r="U317">
        <v>139.2551</v>
      </c>
      <c r="V317">
        <v>165.5</v>
      </c>
      <c r="W317">
        <v>159.5</v>
      </c>
      <c r="X317">
        <v>163.19999999999999</v>
      </c>
      <c r="Y317">
        <v>161.1</v>
      </c>
      <c r="Z317">
        <v>172.5</v>
      </c>
      <c r="AA317">
        <v>169</v>
      </c>
      <c r="AB317">
        <v>191.2</v>
      </c>
      <c r="AC317">
        <v>164.7</v>
      </c>
      <c r="AD317">
        <v>166.3</v>
      </c>
    </row>
    <row r="318" spans="1:30" x14ac:dyDescent="0.35">
      <c r="A318" t="s">
        <v>32</v>
      </c>
      <c r="B318">
        <v>2021</v>
      </c>
      <c r="C318" t="s">
        <v>42</v>
      </c>
      <c r="D318">
        <v>150.1</v>
      </c>
      <c r="E318">
        <v>208.4</v>
      </c>
      <c r="F318">
        <v>173</v>
      </c>
      <c r="G318">
        <v>159.19999999999999</v>
      </c>
      <c r="H318">
        <v>159.30000000000001</v>
      </c>
      <c r="I318">
        <v>214.4</v>
      </c>
      <c r="J318">
        <v>165.3</v>
      </c>
      <c r="K318">
        <v>122.5</v>
      </c>
      <c r="L318">
        <v>166.8</v>
      </c>
      <c r="M318">
        <v>155.4</v>
      </c>
      <c r="N318">
        <v>175.9</v>
      </c>
      <c r="O318">
        <v>171.5</v>
      </c>
      <c r="P318">
        <v>176.6</v>
      </c>
      <c r="Q318">
        <v>160.80000000000001</v>
      </c>
      <c r="R318">
        <v>144.4</v>
      </c>
      <c r="S318">
        <v>158.30000000000001</v>
      </c>
      <c r="T318">
        <v>154.30000000000001</v>
      </c>
      <c r="U318">
        <v>163.6</v>
      </c>
      <c r="V318">
        <v>162.19999999999999</v>
      </c>
      <c r="W318">
        <v>152.19999999999999</v>
      </c>
      <c r="X318">
        <v>155.1</v>
      </c>
      <c r="Y318">
        <v>160.30000000000001</v>
      </c>
      <c r="Z318">
        <v>163.5</v>
      </c>
      <c r="AA318">
        <v>160.30000000000001</v>
      </c>
      <c r="AB318">
        <v>197</v>
      </c>
      <c r="AC318">
        <v>157</v>
      </c>
      <c r="AD318">
        <v>164.6</v>
      </c>
    </row>
    <row r="319" spans="1:30" x14ac:dyDescent="0.35">
      <c r="A319" t="s">
        <v>33</v>
      </c>
      <c r="B319">
        <v>2021</v>
      </c>
      <c r="C319" t="s">
        <v>42</v>
      </c>
      <c r="D319">
        <v>147.4</v>
      </c>
      <c r="E319">
        <v>204.6</v>
      </c>
      <c r="F319">
        <v>171.2</v>
      </c>
      <c r="G319">
        <v>158.69999999999999</v>
      </c>
      <c r="H319">
        <v>155.69999999999999</v>
      </c>
      <c r="I319">
        <v>185.3</v>
      </c>
      <c r="J319">
        <v>165.2</v>
      </c>
      <c r="K319">
        <v>121.9</v>
      </c>
      <c r="L319">
        <v>169.3</v>
      </c>
      <c r="M319">
        <v>163.19999999999999</v>
      </c>
      <c r="N319">
        <v>174.7</v>
      </c>
      <c r="O319">
        <v>167.7</v>
      </c>
      <c r="P319">
        <v>190.6</v>
      </c>
      <c r="Q319">
        <v>165.7</v>
      </c>
      <c r="R319">
        <v>156.30000000000001</v>
      </c>
      <c r="S319">
        <v>164.3</v>
      </c>
      <c r="T319">
        <v>158.4</v>
      </c>
      <c r="U319">
        <v>163.6</v>
      </c>
      <c r="V319">
        <v>164.2</v>
      </c>
      <c r="W319">
        <v>155.69999999999999</v>
      </c>
      <c r="X319">
        <v>158.6</v>
      </c>
      <c r="Y319">
        <v>160.80000000000001</v>
      </c>
      <c r="Z319">
        <v>169.1</v>
      </c>
      <c r="AA319">
        <v>163.9</v>
      </c>
      <c r="AB319">
        <v>192.7</v>
      </c>
      <c r="AC319">
        <v>161</v>
      </c>
      <c r="AD319">
        <v>165.5</v>
      </c>
    </row>
    <row r="320" spans="1:30" x14ac:dyDescent="0.35">
      <c r="A320" t="s">
        <v>30</v>
      </c>
      <c r="B320">
        <v>2021</v>
      </c>
      <c r="C320" t="s">
        <v>44</v>
      </c>
      <c r="D320">
        <v>146.9</v>
      </c>
      <c r="E320">
        <v>199.8</v>
      </c>
      <c r="F320">
        <v>171.5</v>
      </c>
      <c r="G320">
        <v>159.1</v>
      </c>
      <c r="H320">
        <v>153.19999999999999</v>
      </c>
      <c r="I320">
        <v>183.9</v>
      </c>
      <c r="J320">
        <v>165.4</v>
      </c>
      <c r="K320">
        <v>122.1</v>
      </c>
      <c r="L320">
        <v>170.8</v>
      </c>
      <c r="M320">
        <v>169.1</v>
      </c>
      <c r="N320">
        <v>174.3</v>
      </c>
      <c r="O320">
        <v>167.5</v>
      </c>
      <c r="P320">
        <v>198.4</v>
      </c>
      <c r="Q320">
        <v>170.4</v>
      </c>
      <c r="R320">
        <v>166</v>
      </c>
      <c r="S320">
        <v>169.8</v>
      </c>
      <c r="T320">
        <v>162.9</v>
      </c>
      <c r="U320">
        <v>139.2551</v>
      </c>
      <c r="V320">
        <v>165.3</v>
      </c>
      <c r="W320">
        <v>158.9</v>
      </c>
      <c r="X320">
        <v>163.80000000000001</v>
      </c>
      <c r="Y320">
        <v>162.4</v>
      </c>
      <c r="Z320">
        <v>173.4</v>
      </c>
      <c r="AA320">
        <v>169.3</v>
      </c>
      <c r="AB320">
        <v>191.4</v>
      </c>
      <c r="AC320">
        <v>165.2</v>
      </c>
      <c r="AD320">
        <v>167.6</v>
      </c>
    </row>
    <row r="321" spans="1:30" x14ac:dyDescent="0.35">
      <c r="A321" t="s">
        <v>32</v>
      </c>
      <c r="B321">
        <v>2021</v>
      </c>
      <c r="C321" t="s">
        <v>44</v>
      </c>
      <c r="D321">
        <v>151</v>
      </c>
      <c r="E321">
        <v>204.9</v>
      </c>
      <c r="F321">
        <v>175.4</v>
      </c>
      <c r="G321">
        <v>159.6</v>
      </c>
      <c r="H321">
        <v>160.30000000000001</v>
      </c>
      <c r="I321">
        <v>229.1</v>
      </c>
      <c r="J321">
        <v>165.1</v>
      </c>
      <c r="K321">
        <v>123.1</v>
      </c>
      <c r="L321">
        <v>167.2</v>
      </c>
      <c r="M321">
        <v>156.1</v>
      </c>
      <c r="N321">
        <v>176.8</v>
      </c>
      <c r="O321">
        <v>173.5</v>
      </c>
      <c r="P321">
        <v>175.8</v>
      </c>
      <c r="Q321">
        <v>162.30000000000001</v>
      </c>
      <c r="R321">
        <v>145.30000000000001</v>
      </c>
      <c r="S321">
        <v>159.69999999999999</v>
      </c>
      <c r="T321">
        <v>155.19999999999999</v>
      </c>
      <c r="U321">
        <v>164.2</v>
      </c>
      <c r="V321">
        <v>161.6</v>
      </c>
      <c r="W321">
        <v>151.19999999999999</v>
      </c>
      <c r="X321">
        <v>156.69999999999999</v>
      </c>
      <c r="Y321">
        <v>161.80000000000001</v>
      </c>
      <c r="Z321">
        <v>164.2</v>
      </c>
      <c r="AA321">
        <v>160.80000000000001</v>
      </c>
      <c r="AB321">
        <v>197</v>
      </c>
      <c r="AC321">
        <v>157.30000000000001</v>
      </c>
      <c r="AD321">
        <v>165.6</v>
      </c>
    </row>
    <row r="322" spans="1:30" x14ac:dyDescent="0.35">
      <c r="A322" t="s">
        <v>33</v>
      </c>
      <c r="B322">
        <v>2021</v>
      </c>
      <c r="C322" t="s">
        <v>44</v>
      </c>
      <c r="D322">
        <v>148.19999999999999</v>
      </c>
      <c r="E322">
        <v>201.6</v>
      </c>
      <c r="F322">
        <v>173</v>
      </c>
      <c r="G322">
        <v>159.30000000000001</v>
      </c>
      <c r="H322">
        <v>156.5</v>
      </c>
      <c r="I322">
        <v>199.2</v>
      </c>
      <c r="J322">
        <v>165.3</v>
      </c>
      <c r="K322">
        <v>122.4</v>
      </c>
      <c r="L322">
        <v>169.6</v>
      </c>
      <c r="M322">
        <v>163.69999999999999</v>
      </c>
      <c r="N322">
        <v>175.5</v>
      </c>
      <c r="O322">
        <v>169.7</v>
      </c>
      <c r="P322">
        <v>190.1</v>
      </c>
      <c r="Q322">
        <v>167.2</v>
      </c>
      <c r="R322">
        <v>157.4</v>
      </c>
      <c r="S322">
        <v>165.8</v>
      </c>
      <c r="T322">
        <v>159.30000000000001</v>
      </c>
      <c r="U322">
        <v>164.2</v>
      </c>
      <c r="V322">
        <v>163.9</v>
      </c>
      <c r="W322">
        <v>154.80000000000001</v>
      </c>
      <c r="X322">
        <v>159.80000000000001</v>
      </c>
      <c r="Y322">
        <v>162.19999999999999</v>
      </c>
      <c r="Z322">
        <v>169.9</v>
      </c>
      <c r="AA322">
        <v>164.3</v>
      </c>
      <c r="AB322">
        <v>192.9</v>
      </c>
      <c r="AC322">
        <v>161.4</v>
      </c>
      <c r="AD322">
        <v>166.7</v>
      </c>
    </row>
    <row r="323" spans="1:30" x14ac:dyDescent="0.35">
      <c r="A323" t="s">
        <v>30</v>
      </c>
      <c r="B323">
        <v>2021</v>
      </c>
      <c r="C323" t="s">
        <v>45</v>
      </c>
      <c r="D323">
        <v>147.4</v>
      </c>
      <c r="E323">
        <v>197</v>
      </c>
      <c r="F323">
        <v>176.5</v>
      </c>
      <c r="G323">
        <v>159.80000000000001</v>
      </c>
      <c r="H323">
        <v>152</v>
      </c>
      <c r="I323">
        <v>172.3</v>
      </c>
      <c r="J323">
        <v>164.5</v>
      </c>
      <c r="K323">
        <v>120.6</v>
      </c>
      <c r="L323">
        <v>171.7</v>
      </c>
      <c r="M323">
        <v>169.7</v>
      </c>
      <c r="N323">
        <v>175.1</v>
      </c>
      <c r="O323">
        <v>165.8</v>
      </c>
      <c r="P323">
        <v>195.8</v>
      </c>
      <c r="Q323">
        <v>171.8</v>
      </c>
      <c r="R323">
        <v>167.3</v>
      </c>
      <c r="S323">
        <v>171.2</v>
      </c>
      <c r="T323">
        <v>163.9</v>
      </c>
      <c r="U323">
        <v>139.2551</v>
      </c>
      <c r="V323">
        <v>165.6</v>
      </c>
      <c r="W323">
        <v>160.1</v>
      </c>
      <c r="X323">
        <v>164.5</v>
      </c>
      <c r="Y323">
        <v>162.80000000000001</v>
      </c>
      <c r="Z323">
        <v>174</v>
      </c>
      <c r="AA323">
        <v>169.7</v>
      </c>
      <c r="AB323">
        <v>190.8</v>
      </c>
      <c r="AC323">
        <v>166</v>
      </c>
      <c r="AD323">
        <v>167</v>
      </c>
    </row>
    <row r="324" spans="1:30" x14ac:dyDescent="0.35">
      <c r="A324" t="s">
        <v>32</v>
      </c>
      <c r="B324">
        <v>2021</v>
      </c>
      <c r="C324" t="s">
        <v>45</v>
      </c>
      <c r="D324">
        <v>151.6</v>
      </c>
      <c r="E324">
        <v>202.2</v>
      </c>
      <c r="F324">
        <v>180</v>
      </c>
      <c r="G324">
        <v>160</v>
      </c>
      <c r="H324">
        <v>158.30000000000001</v>
      </c>
      <c r="I324">
        <v>219.5</v>
      </c>
      <c r="J324">
        <v>164.2</v>
      </c>
      <c r="K324">
        <v>121.9</v>
      </c>
      <c r="L324">
        <v>168.2</v>
      </c>
      <c r="M324">
        <v>156.5</v>
      </c>
      <c r="N324">
        <v>178.2</v>
      </c>
      <c r="O324">
        <v>172.2</v>
      </c>
      <c r="P324">
        <v>173.5</v>
      </c>
      <c r="Q324">
        <v>163.30000000000001</v>
      </c>
      <c r="R324">
        <v>146.69999999999999</v>
      </c>
      <c r="S324">
        <v>160.69999999999999</v>
      </c>
      <c r="T324">
        <v>156</v>
      </c>
      <c r="U324">
        <v>163.4</v>
      </c>
      <c r="V324">
        <v>161.69999999999999</v>
      </c>
      <c r="W324">
        <v>151.80000000000001</v>
      </c>
      <c r="X324">
        <v>157.6</v>
      </c>
      <c r="Y324">
        <v>162.4</v>
      </c>
      <c r="Z324">
        <v>165.1</v>
      </c>
      <c r="AA324">
        <v>160.6</v>
      </c>
      <c r="AB324">
        <v>196.8</v>
      </c>
      <c r="AC324">
        <v>157.80000000000001</v>
      </c>
      <c r="AD324">
        <v>165.2</v>
      </c>
    </row>
    <row r="325" spans="1:30" x14ac:dyDescent="0.35">
      <c r="A325" t="s">
        <v>33</v>
      </c>
      <c r="B325">
        <v>2021</v>
      </c>
      <c r="C325" t="s">
        <v>45</v>
      </c>
      <c r="D325">
        <v>148.69999999999999</v>
      </c>
      <c r="E325">
        <v>198.8</v>
      </c>
      <c r="F325">
        <v>177.9</v>
      </c>
      <c r="G325">
        <v>159.9</v>
      </c>
      <c r="H325">
        <v>154.9</v>
      </c>
      <c r="I325">
        <v>188.3</v>
      </c>
      <c r="J325">
        <v>164.4</v>
      </c>
      <c r="K325">
        <v>121</v>
      </c>
      <c r="L325">
        <v>170.5</v>
      </c>
      <c r="M325">
        <v>164.2</v>
      </c>
      <c r="N325">
        <v>176.5</v>
      </c>
      <c r="O325">
        <v>168.2</v>
      </c>
      <c r="P325">
        <v>187.6</v>
      </c>
      <c r="Q325">
        <v>168.5</v>
      </c>
      <c r="R325">
        <v>158.69999999999999</v>
      </c>
      <c r="S325">
        <v>167</v>
      </c>
      <c r="T325">
        <v>160.19999999999999</v>
      </c>
      <c r="U325">
        <v>163.4</v>
      </c>
      <c r="V325">
        <v>164.1</v>
      </c>
      <c r="W325">
        <v>155.69999999999999</v>
      </c>
      <c r="X325">
        <v>160.6</v>
      </c>
      <c r="Y325">
        <v>162.6</v>
      </c>
      <c r="Z325">
        <v>170.6</v>
      </c>
      <c r="AA325">
        <v>164.4</v>
      </c>
      <c r="AB325">
        <v>192.4</v>
      </c>
      <c r="AC325">
        <v>162</v>
      </c>
      <c r="AD325">
        <v>166.2</v>
      </c>
    </row>
    <row r="326" spans="1:30" x14ac:dyDescent="0.35">
      <c r="A326" t="s">
        <v>30</v>
      </c>
      <c r="B326">
        <v>2022</v>
      </c>
      <c r="C326" t="s">
        <v>31</v>
      </c>
      <c r="D326">
        <v>148.30000000000001</v>
      </c>
      <c r="E326">
        <v>196.9</v>
      </c>
      <c r="F326">
        <v>178</v>
      </c>
      <c r="G326">
        <v>160.5</v>
      </c>
      <c r="H326">
        <v>151.19999999999999</v>
      </c>
      <c r="I326">
        <v>159.19999999999999</v>
      </c>
      <c r="J326">
        <v>164</v>
      </c>
      <c r="K326">
        <v>119.3</v>
      </c>
      <c r="L326">
        <v>173.3</v>
      </c>
      <c r="M326">
        <v>169.8</v>
      </c>
      <c r="N326">
        <v>175.8</v>
      </c>
      <c r="O326">
        <v>164.1</v>
      </c>
      <c r="P326">
        <v>192.6</v>
      </c>
      <c r="Q326">
        <v>173.2</v>
      </c>
      <c r="R326">
        <v>169.3</v>
      </c>
      <c r="S326">
        <v>172.7</v>
      </c>
      <c r="T326">
        <v>164.9</v>
      </c>
      <c r="U326">
        <v>139.2551</v>
      </c>
      <c r="V326">
        <v>165.8</v>
      </c>
      <c r="W326">
        <v>160.80000000000001</v>
      </c>
      <c r="X326">
        <v>164.9</v>
      </c>
      <c r="Y326">
        <v>163.19999999999999</v>
      </c>
      <c r="Z326">
        <v>174.7</v>
      </c>
      <c r="AA326">
        <v>169.9</v>
      </c>
      <c r="AB326">
        <v>190.7</v>
      </c>
      <c r="AC326">
        <v>166.6</v>
      </c>
      <c r="AD326">
        <v>166.4</v>
      </c>
    </row>
    <row r="327" spans="1:30" x14ac:dyDescent="0.35">
      <c r="A327" t="s">
        <v>32</v>
      </c>
      <c r="B327">
        <v>2022</v>
      </c>
      <c r="C327" t="s">
        <v>31</v>
      </c>
      <c r="D327">
        <v>152.19999999999999</v>
      </c>
      <c r="E327">
        <v>202.1</v>
      </c>
      <c r="F327">
        <v>180.1</v>
      </c>
      <c r="G327">
        <v>160.4</v>
      </c>
      <c r="H327">
        <v>156.5</v>
      </c>
      <c r="I327">
        <v>203.6</v>
      </c>
      <c r="J327">
        <v>163.80000000000001</v>
      </c>
      <c r="K327">
        <v>121.3</v>
      </c>
      <c r="L327">
        <v>169.8</v>
      </c>
      <c r="M327">
        <v>156.6</v>
      </c>
      <c r="N327">
        <v>179</v>
      </c>
      <c r="O327">
        <v>170.3</v>
      </c>
      <c r="P327">
        <v>171</v>
      </c>
      <c r="Q327">
        <v>164.7</v>
      </c>
      <c r="R327">
        <v>148.5</v>
      </c>
      <c r="S327">
        <v>162.19999999999999</v>
      </c>
      <c r="T327">
        <v>156.80000000000001</v>
      </c>
      <c r="U327">
        <v>164.5</v>
      </c>
      <c r="V327">
        <v>161.6</v>
      </c>
      <c r="W327">
        <v>152.69999999999999</v>
      </c>
      <c r="X327">
        <v>158.4</v>
      </c>
      <c r="Y327">
        <v>162.80000000000001</v>
      </c>
      <c r="Z327">
        <v>166.1</v>
      </c>
      <c r="AA327">
        <v>161</v>
      </c>
      <c r="AB327">
        <v>196.4</v>
      </c>
      <c r="AC327">
        <v>158.6</v>
      </c>
      <c r="AD327">
        <v>165</v>
      </c>
    </row>
    <row r="328" spans="1:30" x14ac:dyDescent="0.35">
      <c r="A328" t="s">
        <v>33</v>
      </c>
      <c r="B328">
        <v>2022</v>
      </c>
      <c r="C328" t="s">
        <v>31</v>
      </c>
      <c r="D328">
        <v>149.5</v>
      </c>
      <c r="E328">
        <v>198.7</v>
      </c>
      <c r="F328">
        <v>178.8</v>
      </c>
      <c r="G328">
        <v>160.5</v>
      </c>
      <c r="H328">
        <v>153.69999999999999</v>
      </c>
      <c r="I328">
        <v>174.3</v>
      </c>
      <c r="J328">
        <v>163.9</v>
      </c>
      <c r="K328">
        <v>120</v>
      </c>
      <c r="L328">
        <v>172.1</v>
      </c>
      <c r="M328">
        <v>164.3</v>
      </c>
      <c r="N328">
        <v>177.3</v>
      </c>
      <c r="O328">
        <v>166.4</v>
      </c>
      <c r="P328">
        <v>184.7</v>
      </c>
      <c r="Q328">
        <v>169.9</v>
      </c>
      <c r="R328">
        <v>160.69999999999999</v>
      </c>
      <c r="S328">
        <v>168.5</v>
      </c>
      <c r="T328">
        <v>161.1</v>
      </c>
      <c r="U328">
        <v>164.5</v>
      </c>
      <c r="V328">
        <v>164.2</v>
      </c>
      <c r="W328">
        <v>156.5</v>
      </c>
      <c r="X328">
        <v>161.19999999999999</v>
      </c>
      <c r="Y328">
        <v>163</v>
      </c>
      <c r="Z328">
        <v>171.4</v>
      </c>
      <c r="AA328">
        <v>164.7</v>
      </c>
      <c r="AB328">
        <v>192.2</v>
      </c>
      <c r="AC328">
        <v>162.69999999999999</v>
      </c>
      <c r="AD328">
        <v>165.7</v>
      </c>
    </row>
    <row r="329" spans="1:30" x14ac:dyDescent="0.35">
      <c r="A329" t="s">
        <v>30</v>
      </c>
      <c r="B329">
        <v>2022</v>
      </c>
      <c r="C329" t="s">
        <v>34</v>
      </c>
      <c r="D329">
        <v>148.80000000000001</v>
      </c>
      <c r="E329">
        <v>198.1</v>
      </c>
      <c r="F329">
        <v>175.5</v>
      </c>
      <c r="G329">
        <v>160.69999999999999</v>
      </c>
      <c r="H329">
        <v>151.4</v>
      </c>
      <c r="I329">
        <v>155.19999999999999</v>
      </c>
      <c r="J329">
        <v>163.9</v>
      </c>
      <c r="K329">
        <v>118.1</v>
      </c>
      <c r="L329">
        <v>175.4</v>
      </c>
      <c r="M329">
        <v>170.5</v>
      </c>
      <c r="N329">
        <v>176.3</v>
      </c>
      <c r="O329">
        <v>163.9</v>
      </c>
      <c r="P329">
        <v>192.6</v>
      </c>
      <c r="Q329">
        <v>174.1</v>
      </c>
      <c r="R329">
        <v>171</v>
      </c>
      <c r="S329">
        <v>173.7</v>
      </c>
      <c r="T329">
        <v>165.7</v>
      </c>
      <c r="U329">
        <v>139.2551</v>
      </c>
      <c r="V329">
        <v>167.4</v>
      </c>
      <c r="W329">
        <v>161.19999999999999</v>
      </c>
      <c r="X329">
        <v>165.5</v>
      </c>
      <c r="Y329">
        <v>164.5</v>
      </c>
      <c r="Z329">
        <v>175.3</v>
      </c>
      <c r="AA329">
        <v>170.3</v>
      </c>
      <c r="AB329">
        <v>191.5</v>
      </c>
      <c r="AC329">
        <v>167.3</v>
      </c>
      <c r="AD329">
        <v>166.7</v>
      </c>
    </row>
    <row r="330" spans="1:30" x14ac:dyDescent="0.35">
      <c r="A330" t="s">
        <v>32</v>
      </c>
      <c r="B330">
        <v>2022</v>
      </c>
      <c r="C330" t="s">
        <v>34</v>
      </c>
      <c r="D330">
        <v>152.5</v>
      </c>
      <c r="E330">
        <v>205.2</v>
      </c>
      <c r="F330">
        <v>176.4</v>
      </c>
      <c r="G330">
        <v>160.6</v>
      </c>
      <c r="H330">
        <v>156.4</v>
      </c>
      <c r="I330">
        <v>198</v>
      </c>
      <c r="J330">
        <v>163.19999999999999</v>
      </c>
      <c r="K330">
        <v>120.6</v>
      </c>
      <c r="L330">
        <v>172.2</v>
      </c>
      <c r="M330">
        <v>156.69999999999999</v>
      </c>
      <c r="N330">
        <v>180</v>
      </c>
      <c r="O330">
        <v>170.2</v>
      </c>
      <c r="P330">
        <v>171.5</v>
      </c>
      <c r="Q330">
        <v>165.7</v>
      </c>
      <c r="R330">
        <v>150.4</v>
      </c>
      <c r="S330">
        <v>163.4</v>
      </c>
      <c r="T330">
        <v>157.4</v>
      </c>
      <c r="U330">
        <v>165.5</v>
      </c>
      <c r="V330">
        <v>163</v>
      </c>
      <c r="W330">
        <v>153.1</v>
      </c>
      <c r="X330">
        <v>159.5</v>
      </c>
      <c r="Y330">
        <v>164.2</v>
      </c>
      <c r="Z330">
        <v>167.2</v>
      </c>
      <c r="AA330">
        <v>162</v>
      </c>
      <c r="AB330">
        <v>196.5</v>
      </c>
      <c r="AC330">
        <v>159.4</v>
      </c>
      <c r="AD330">
        <v>165.5</v>
      </c>
    </row>
    <row r="331" spans="1:30" x14ac:dyDescent="0.35">
      <c r="A331" t="s">
        <v>33</v>
      </c>
      <c r="B331">
        <v>2022</v>
      </c>
      <c r="C331" t="s">
        <v>34</v>
      </c>
      <c r="D331">
        <v>150</v>
      </c>
      <c r="E331">
        <v>200.6</v>
      </c>
      <c r="F331">
        <v>175.8</v>
      </c>
      <c r="G331">
        <v>160.69999999999999</v>
      </c>
      <c r="H331">
        <v>153.69999999999999</v>
      </c>
      <c r="I331">
        <v>169.7</v>
      </c>
      <c r="J331">
        <v>163.69999999999999</v>
      </c>
      <c r="K331">
        <v>118.9</v>
      </c>
      <c r="L331">
        <v>174.3</v>
      </c>
      <c r="M331">
        <v>164.7</v>
      </c>
      <c r="N331">
        <v>178</v>
      </c>
      <c r="O331">
        <v>166.2</v>
      </c>
      <c r="P331">
        <v>184.9</v>
      </c>
      <c r="Q331">
        <v>170.8</v>
      </c>
      <c r="R331">
        <v>162.4</v>
      </c>
      <c r="S331">
        <v>169.6</v>
      </c>
      <c r="T331">
        <v>161.80000000000001</v>
      </c>
      <c r="U331">
        <v>165.5</v>
      </c>
      <c r="V331">
        <v>165.7</v>
      </c>
      <c r="W331">
        <v>156.9</v>
      </c>
      <c r="X331">
        <v>162.1</v>
      </c>
      <c r="Y331">
        <v>164.4</v>
      </c>
      <c r="Z331">
        <v>172.2</v>
      </c>
      <c r="AA331">
        <v>165.4</v>
      </c>
      <c r="AB331">
        <v>192.8</v>
      </c>
      <c r="AC331">
        <v>163.5</v>
      </c>
      <c r="AD331">
        <v>166.1</v>
      </c>
    </row>
    <row r="332" spans="1:30" x14ac:dyDescent="0.35">
      <c r="A332" t="s">
        <v>30</v>
      </c>
      <c r="B332">
        <v>2022</v>
      </c>
      <c r="C332" t="s">
        <v>35</v>
      </c>
      <c r="D332">
        <v>150.19999999999999</v>
      </c>
      <c r="E332">
        <v>208</v>
      </c>
      <c r="F332">
        <v>167.9</v>
      </c>
      <c r="G332">
        <v>162</v>
      </c>
      <c r="H332">
        <v>155.9</v>
      </c>
      <c r="I332">
        <v>155.80000000000001</v>
      </c>
      <c r="J332">
        <v>164.2</v>
      </c>
      <c r="K332">
        <v>118.1</v>
      </c>
      <c r="L332">
        <v>178.7</v>
      </c>
      <c r="M332">
        <v>171.2</v>
      </c>
      <c r="N332">
        <v>177.4</v>
      </c>
      <c r="O332">
        <v>166.6</v>
      </c>
      <c r="P332">
        <v>203.1</v>
      </c>
      <c r="Q332">
        <v>175.4</v>
      </c>
      <c r="R332">
        <v>173.2</v>
      </c>
      <c r="S332">
        <v>175.1</v>
      </c>
      <c r="T332">
        <v>166.5</v>
      </c>
      <c r="U332">
        <v>139.2551</v>
      </c>
      <c r="V332">
        <v>168.9</v>
      </c>
      <c r="W332">
        <v>162</v>
      </c>
      <c r="X332">
        <v>166.6</v>
      </c>
      <c r="Y332">
        <v>167.4</v>
      </c>
      <c r="Z332">
        <v>176</v>
      </c>
      <c r="AA332">
        <v>170.6</v>
      </c>
      <c r="AB332">
        <v>192.3</v>
      </c>
      <c r="AC332">
        <v>168.3</v>
      </c>
      <c r="AD332">
        <v>168.7</v>
      </c>
    </row>
    <row r="333" spans="1:30" x14ac:dyDescent="0.35">
      <c r="A333" t="s">
        <v>32</v>
      </c>
      <c r="B333">
        <v>2022</v>
      </c>
      <c r="C333" t="s">
        <v>35</v>
      </c>
      <c r="D333">
        <v>153.69999999999999</v>
      </c>
      <c r="E333">
        <v>215.8</v>
      </c>
      <c r="F333">
        <v>167.7</v>
      </c>
      <c r="G333">
        <v>162.6</v>
      </c>
      <c r="H333">
        <v>159.6</v>
      </c>
      <c r="I333">
        <v>188.4</v>
      </c>
      <c r="J333">
        <v>163.4</v>
      </c>
      <c r="K333">
        <v>120.3</v>
      </c>
      <c r="L333">
        <v>174.7</v>
      </c>
      <c r="M333">
        <v>157.1</v>
      </c>
      <c r="N333">
        <v>181.5</v>
      </c>
      <c r="O333">
        <v>171.5</v>
      </c>
      <c r="P333">
        <v>180</v>
      </c>
      <c r="Q333">
        <v>167.1</v>
      </c>
      <c r="R333">
        <v>152.6</v>
      </c>
      <c r="S333">
        <v>164.9</v>
      </c>
      <c r="T333">
        <v>158.6</v>
      </c>
      <c r="U333">
        <v>165.3</v>
      </c>
      <c r="V333">
        <v>164.5</v>
      </c>
      <c r="W333">
        <v>154.19999999999999</v>
      </c>
      <c r="X333">
        <v>160.80000000000001</v>
      </c>
      <c r="Y333">
        <v>166.8</v>
      </c>
      <c r="Z333">
        <v>168.2</v>
      </c>
      <c r="AA333">
        <v>162.69999999999999</v>
      </c>
      <c r="AB333">
        <v>197.5</v>
      </c>
      <c r="AC333">
        <v>160.6</v>
      </c>
      <c r="AD333">
        <v>166.5</v>
      </c>
    </row>
    <row r="334" spans="1:30" x14ac:dyDescent="0.35">
      <c r="A334" t="s">
        <v>33</v>
      </c>
      <c r="B334">
        <v>2022</v>
      </c>
      <c r="C334" t="s">
        <v>35</v>
      </c>
      <c r="D334">
        <v>151.30000000000001</v>
      </c>
      <c r="E334">
        <v>210.7</v>
      </c>
      <c r="F334">
        <v>167.8</v>
      </c>
      <c r="G334">
        <v>162.19999999999999</v>
      </c>
      <c r="H334">
        <v>157.6</v>
      </c>
      <c r="I334">
        <v>166.9</v>
      </c>
      <c r="J334">
        <v>163.9</v>
      </c>
      <c r="K334">
        <v>118.8</v>
      </c>
      <c r="L334">
        <v>177.4</v>
      </c>
      <c r="M334">
        <v>165.3</v>
      </c>
      <c r="N334">
        <v>179.3</v>
      </c>
      <c r="O334">
        <v>168.4</v>
      </c>
      <c r="P334">
        <v>194.6</v>
      </c>
      <c r="Q334">
        <v>172.1</v>
      </c>
      <c r="R334">
        <v>164.6</v>
      </c>
      <c r="S334">
        <v>171.1</v>
      </c>
      <c r="T334">
        <v>162.80000000000001</v>
      </c>
      <c r="U334">
        <v>165.3</v>
      </c>
      <c r="V334">
        <v>167.2</v>
      </c>
      <c r="W334">
        <v>157.9</v>
      </c>
      <c r="X334">
        <v>163.30000000000001</v>
      </c>
      <c r="Y334">
        <v>167.2</v>
      </c>
      <c r="Z334">
        <v>173</v>
      </c>
      <c r="AA334">
        <v>166</v>
      </c>
      <c r="AB334">
        <v>193.7</v>
      </c>
      <c r="AC334">
        <v>164.6</v>
      </c>
      <c r="AD334">
        <v>167.7</v>
      </c>
    </row>
    <row r="335" spans="1:30" x14ac:dyDescent="0.35">
      <c r="A335" t="s">
        <v>30</v>
      </c>
      <c r="B335">
        <v>2022</v>
      </c>
      <c r="C335" t="s">
        <v>36</v>
      </c>
      <c r="D335">
        <v>151.80000000000001</v>
      </c>
      <c r="E335">
        <v>209.7</v>
      </c>
      <c r="F335">
        <v>164.5</v>
      </c>
      <c r="G335">
        <v>163.80000000000001</v>
      </c>
      <c r="H335">
        <v>169.7</v>
      </c>
      <c r="I335">
        <v>153.6</v>
      </c>
      <c r="J335">
        <v>165.1</v>
      </c>
      <c r="K335">
        <v>118.2</v>
      </c>
      <c r="L335">
        <v>182.9</v>
      </c>
      <c r="M335">
        <v>172.4</v>
      </c>
      <c r="N335">
        <v>178.9</v>
      </c>
      <c r="O335">
        <v>168.6</v>
      </c>
      <c r="P335">
        <v>207.4</v>
      </c>
      <c r="Q335">
        <v>177.5</v>
      </c>
      <c r="R335">
        <v>175.1</v>
      </c>
      <c r="S335">
        <v>177.1</v>
      </c>
      <c r="T335">
        <v>167.7</v>
      </c>
      <c r="U335">
        <v>139.2551</v>
      </c>
      <c r="V335">
        <v>173.3</v>
      </c>
      <c r="W335">
        <v>166.2</v>
      </c>
      <c r="X335">
        <v>167.2</v>
      </c>
      <c r="Y335">
        <v>169</v>
      </c>
      <c r="Z335">
        <v>177</v>
      </c>
      <c r="AA335">
        <v>170.9</v>
      </c>
      <c r="AB335">
        <v>192.8</v>
      </c>
      <c r="AC335">
        <v>170.2</v>
      </c>
      <c r="AD335">
        <v>170.8</v>
      </c>
    </row>
    <row r="336" spans="1:30" x14ac:dyDescent="0.35">
      <c r="A336" t="s">
        <v>32</v>
      </c>
      <c r="B336">
        <v>2022</v>
      </c>
      <c r="C336" t="s">
        <v>36</v>
      </c>
      <c r="D336">
        <v>155.4</v>
      </c>
      <c r="E336">
        <v>215.8</v>
      </c>
      <c r="F336">
        <v>164.6</v>
      </c>
      <c r="G336">
        <v>164.2</v>
      </c>
      <c r="H336">
        <v>175.9</v>
      </c>
      <c r="I336">
        <v>190.7</v>
      </c>
      <c r="J336">
        <v>164</v>
      </c>
      <c r="K336">
        <v>120.5</v>
      </c>
      <c r="L336">
        <v>178</v>
      </c>
      <c r="M336">
        <v>157.5</v>
      </c>
      <c r="N336">
        <v>183.3</v>
      </c>
      <c r="O336">
        <v>174.5</v>
      </c>
      <c r="P336">
        <v>186</v>
      </c>
      <c r="Q336">
        <v>168.4</v>
      </c>
      <c r="R336">
        <v>154.5</v>
      </c>
      <c r="S336">
        <v>166.3</v>
      </c>
      <c r="T336">
        <v>159.80000000000001</v>
      </c>
      <c r="U336">
        <v>167</v>
      </c>
      <c r="V336">
        <v>170.5</v>
      </c>
      <c r="W336">
        <v>159.30000000000001</v>
      </c>
      <c r="X336">
        <v>162.19999999999999</v>
      </c>
      <c r="Y336">
        <v>168.4</v>
      </c>
      <c r="Z336">
        <v>169</v>
      </c>
      <c r="AA336">
        <v>164</v>
      </c>
      <c r="AB336">
        <v>197.1</v>
      </c>
      <c r="AC336">
        <v>163.1</v>
      </c>
      <c r="AD336">
        <v>169.2</v>
      </c>
    </row>
    <row r="337" spans="1:30" x14ac:dyDescent="0.35">
      <c r="A337" t="s">
        <v>33</v>
      </c>
      <c r="B337">
        <v>2022</v>
      </c>
      <c r="C337" t="s">
        <v>36</v>
      </c>
      <c r="D337">
        <v>152.9</v>
      </c>
      <c r="E337">
        <v>211.8</v>
      </c>
      <c r="F337">
        <v>164.5</v>
      </c>
      <c r="G337">
        <v>163.9</v>
      </c>
      <c r="H337">
        <v>172.6</v>
      </c>
      <c r="I337">
        <v>166.2</v>
      </c>
      <c r="J337">
        <v>164.7</v>
      </c>
      <c r="K337">
        <v>119</v>
      </c>
      <c r="L337">
        <v>181.3</v>
      </c>
      <c r="M337">
        <v>166.2</v>
      </c>
      <c r="N337">
        <v>180.9</v>
      </c>
      <c r="O337">
        <v>170.8</v>
      </c>
      <c r="P337">
        <v>199.5</v>
      </c>
      <c r="Q337">
        <v>173.9</v>
      </c>
      <c r="R337">
        <v>166.5</v>
      </c>
      <c r="S337">
        <v>172.8</v>
      </c>
      <c r="T337">
        <v>164</v>
      </c>
      <c r="U337">
        <v>167</v>
      </c>
      <c r="V337">
        <v>172.2</v>
      </c>
      <c r="W337">
        <v>162.6</v>
      </c>
      <c r="X337">
        <v>164.4</v>
      </c>
      <c r="Y337">
        <v>168.8</v>
      </c>
      <c r="Z337">
        <v>174</v>
      </c>
      <c r="AA337">
        <v>166.9</v>
      </c>
      <c r="AB337">
        <v>193.9</v>
      </c>
      <c r="AC337">
        <v>166.8</v>
      </c>
      <c r="AD337">
        <v>170.1</v>
      </c>
    </row>
    <row r="338" spans="1:30" x14ac:dyDescent="0.35">
      <c r="A338" t="s">
        <v>30</v>
      </c>
      <c r="B338">
        <v>2022</v>
      </c>
      <c r="C338" t="s">
        <v>37</v>
      </c>
      <c r="D338">
        <v>152.9</v>
      </c>
      <c r="E338">
        <v>214.7</v>
      </c>
      <c r="F338">
        <v>161.4</v>
      </c>
      <c r="G338">
        <v>164.6</v>
      </c>
      <c r="H338">
        <v>168</v>
      </c>
      <c r="I338">
        <v>160.4</v>
      </c>
      <c r="J338">
        <v>165</v>
      </c>
      <c r="K338">
        <v>118.9</v>
      </c>
      <c r="L338">
        <v>186.6</v>
      </c>
      <c r="M338">
        <v>173.2</v>
      </c>
      <c r="N338">
        <v>180.4</v>
      </c>
      <c r="O338">
        <v>170.8</v>
      </c>
      <c r="P338">
        <v>209.9</v>
      </c>
      <c r="Q338">
        <v>179.3</v>
      </c>
      <c r="R338">
        <v>177.2</v>
      </c>
      <c r="S338">
        <v>179</v>
      </c>
      <c r="T338">
        <v>168.9</v>
      </c>
      <c r="U338">
        <v>139.2551</v>
      </c>
      <c r="V338">
        <v>175.3</v>
      </c>
      <c r="W338">
        <v>167.1</v>
      </c>
      <c r="X338">
        <v>167.6</v>
      </c>
      <c r="Y338">
        <v>168.5</v>
      </c>
      <c r="Z338">
        <v>177.7</v>
      </c>
      <c r="AA338">
        <v>171.8</v>
      </c>
      <c r="AB338">
        <v>192.9</v>
      </c>
      <c r="AC338">
        <v>170.9</v>
      </c>
      <c r="AD338">
        <v>172.5</v>
      </c>
    </row>
    <row r="339" spans="1:30" x14ac:dyDescent="0.35">
      <c r="A339" t="s">
        <v>32</v>
      </c>
      <c r="B339">
        <v>2022</v>
      </c>
      <c r="C339" t="s">
        <v>37</v>
      </c>
      <c r="D339">
        <v>156.69999999999999</v>
      </c>
      <c r="E339">
        <v>221.2</v>
      </c>
      <c r="F339">
        <v>164.1</v>
      </c>
      <c r="G339">
        <v>165.4</v>
      </c>
      <c r="H339">
        <v>174.5</v>
      </c>
      <c r="I339">
        <v>203.2</v>
      </c>
      <c r="J339">
        <v>164.1</v>
      </c>
      <c r="K339">
        <v>121.2</v>
      </c>
      <c r="L339">
        <v>181.4</v>
      </c>
      <c r="M339">
        <v>158.5</v>
      </c>
      <c r="N339">
        <v>184.9</v>
      </c>
      <c r="O339">
        <v>177.5</v>
      </c>
      <c r="P339">
        <v>189.5</v>
      </c>
      <c r="Q339">
        <v>170</v>
      </c>
      <c r="R339">
        <v>155.9</v>
      </c>
      <c r="S339">
        <v>167.8</v>
      </c>
      <c r="T339">
        <v>161.1</v>
      </c>
      <c r="U339">
        <v>167.5</v>
      </c>
      <c r="V339">
        <v>173.5</v>
      </c>
      <c r="W339">
        <v>159.4</v>
      </c>
      <c r="X339">
        <v>163.19999999999999</v>
      </c>
      <c r="Y339">
        <v>168.2</v>
      </c>
      <c r="Z339">
        <v>170.1</v>
      </c>
      <c r="AA339">
        <v>165.2</v>
      </c>
      <c r="AB339">
        <v>197.5</v>
      </c>
      <c r="AC339">
        <v>163.80000000000001</v>
      </c>
      <c r="AD339">
        <v>170.8</v>
      </c>
    </row>
    <row r="340" spans="1:30" x14ac:dyDescent="0.35">
      <c r="A340" t="s">
        <v>33</v>
      </c>
      <c r="B340">
        <v>2022</v>
      </c>
      <c r="C340" t="s">
        <v>37</v>
      </c>
      <c r="D340">
        <v>154.1</v>
      </c>
      <c r="E340">
        <v>217</v>
      </c>
      <c r="F340">
        <v>162.4</v>
      </c>
      <c r="G340">
        <v>164.9</v>
      </c>
      <c r="H340">
        <v>171</v>
      </c>
      <c r="I340">
        <v>174.9</v>
      </c>
      <c r="J340">
        <v>164.7</v>
      </c>
      <c r="K340">
        <v>119.7</v>
      </c>
      <c r="L340">
        <v>184.9</v>
      </c>
      <c r="M340">
        <v>167.1</v>
      </c>
      <c r="N340">
        <v>182.5</v>
      </c>
      <c r="O340">
        <v>173.3</v>
      </c>
      <c r="P340">
        <v>202.4</v>
      </c>
      <c r="Q340">
        <v>175.6</v>
      </c>
      <c r="R340">
        <v>168.4</v>
      </c>
      <c r="S340">
        <v>174.6</v>
      </c>
      <c r="T340">
        <v>165.2</v>
      </c>
      <c r="U340">
        <v>167.5</v>
      </c>
      <c r="V340">
        <v>174.6</v>
      </c>
      <c r="W340">
        <v>163</v>
      </c>
      <c r="X340">
        <v>165.1</v>
      </c>
      <c r="Y340">
        <v>168.4</v>
      </c>
      <c r="Z340">
        <v>174.8</v>
      </c>
      <c r="AA340">
        <v>167.9</v>
      </c>
      <c r="AB340">
        <v>194.1</v>
      </c>
      <c r="AC340">
        <v>167.5</v>
      </c>
      <c r="AD340">
        <v>171.7</v>
      </c>
    </row>
    <row r="341" spans="1:30" x14ac:dyDescent="0.35">
      <c r="A341" t="s">
        <v>30</v>
      </c>
      <c r="B341">
        <v>2022</v>
      </c>
      <c r="C341" t="s">
        <v>38</v>
      </c>
      <c r="D341">
        <v>153.80000000000001</v>
      </c>
      <c r="E341">
        <v>217.2</v>
      </c>
      <c r="F341">
        <v>169.6</v>
      </c>
      <c r="G341">
        <v>165.4</v>
      </c>
      <c r="H341">
        <v>165.8</v>
      </c>
      <c r="I341">
        <v>167.3</v>
      </c>
      <c r="J341">
        <v>164.6</v>
      </c>
      <c r="K341">
        <v>119.1</v>
      </c>
      <c r="L341">
        <v>188.9</v>
      </c>
      <c r="M341">
        <v>174.2</v>
      </c>
      <c r="N341">
        <v>181.9</v>
      </c>
      <c r="O341">
        <v>172.4</v>
      </c>
      <c r="P341">
        <v>208.1</v>
      </c>
      <c r="Q341">
        <v>180.7</v>
      </c>
      <c r="R341">
        <v>178.7</v>
      </c>
      <c r="S341">
        <v>180.4</v>
      </c>
      <c r="T341">
        <v>170.3</v>
      </c>
      <c r="U341">
        <v>139.2551</v>
      </c>
      <c r="V341">
        <v>176.7</v>
      </c>
      <c r="W341">
        <v>165.5</v>
      </c>
      <c r="X341">
        <v>168</v>
      </c>
      <c r="Y341">
        <v>169.5</v>
      </c>
      <c r="Z341">
        <v>178.2</v>
      </c>
      <c r="AA341">
        <v>172.6</v>
      </c>
      <c r="AB341">
        <v>192.9</v>
      </c>
      <c r="AC341">
        <v>171</v>
      </c>
      <c r="AD341">
        <v>173.6</v>
      </c>
    </row>
    <row r="342" spans="1:30" x14ac:dyDescent="0.35">
      <c r="A342" t="s">
        <v>32</v>
      </c>
      <c r="B342">
        <v>2022</v>
      </c>
      <c r="C342" t="s">
        <v>38</v>
      </c>
      <c r="D342">
        <v>157.5</v>
      </c>
      <c r="E342">
        <v>223.4</v>
      </c>
      <c r="F342">
        <v>172.8</v>
      </c>
      <c r="G342">
        <v>166.4</v>
      </c>
      <c r="H342">
        <v>174.1</v>
      </c>
      <c r="I342">
        <v>211.5</v>
      </c>
      <c r="J342">
        <v>163.6</v>
      </c>
      <c r="K342">
        <v>121.4</v>
      </c>
      <c r="L342">
        <v>183.5</v>
      </c>
      <c r="M342">
        <v>159.1</v>
      </c>
      <c r="N342">
        <v>186.3</v>
      </c>
      <c r="O342">
        <v>179.3</v>
      </c>
      <c r="P342">
        <v>188.6</v>
      </c>
      <c r="Q342">
        <v>171.6</v>
      </c>
      <c r="R342">
        <v>157.4</v>
      </c>
      <c r="S342">
        <v>169.4</v>
      </c>
      <c r="T342">
        <v>162.1</v>
      </c>
      <c r="U342">
        <v>166.8</v>
      </c>
      <c r="V342">
        <v>174.9</v>
      </c>
      <c r="W342">
        <v>157.19999999999999</v>
      </c>
      <c r="X342">
        <v>164.1</v>
      </c>
      <c r="Y342">
        <v>169.2</v>
      </c>
      <c r="Z342">
        <v>170.9</v>
      </c>
      <c r="AA342">
        <v>166.5</v>
      </c>
      <c r="AB342">
        <v>198.3</v>
      </c>
      <c r="AC342">
        <v>163.80000000000001</v>
      </c>
      <c r="AD342">
        <v>171.4</v>
      </c>
    </row>
    <row r="343" spans="1:30" x14ac:dyDescent="0.35">
      <c r="A343" t="s">
        <v>33</v>
      </c>
      <c r="B343">
        <v>2022</v>
      </c>
      <c r="C343" t="s">
        <v>38</v>
      </c>
      <c r="D343">
        <v>155</v>
      </c>
      <c r="E343">
        <v>219.4</v>
      </c>
      <c r="F343">
        <v>170.8</v>
      </c>
      <c r="G343">
        <v>165.8</v>
      </c>
      <c r="H343">
        <v>169.7</v>
      </c>
      <c r="I343">
        <v>182.3</v>
      </c>
      <c r="J343">
        <v>164.3</v>
      </c>
      <c r="K343">
        <v>119.9</v>
      </c>
      <c r="L343">
        <v>187.1</v>
      </c>
      <c r="M343">
        <v>167.9</v>
      </c>
      <c r="N343">
        <v>183.9</v>
      </c>
      <c r="O343">
        <v>174.9</v>
      </c>
      <c r="P343">
        <v>200.9</v>
      </c>
      <c r="Q343">
        <v>177.1</v>
      </c>
      <c r="R343">
        <v>169.9</v>
      </c>
      <c r="S343">
        <v>176</v>
      </c>
      <c r="T343">
        <v>166.4</v>
      </c>
      <c r="U343">
        <v>166.8</v>
      </c>
      <c r="V343">
        <v>176</v>
      </c>
      <c r="W343">
        <v>161.1</v>
      </c>
      <c r="X343">
        <v>165.8</v>
      </c>
      <c r="Y343">
        <v>169.4</v>
      </c>
      <c r="Z343">
        <v>175.4</v>
      </c>
      <c r="AA343">
        <v>169</v>
      </c>
      <c r="AB343">
        <v>194.3</v>
      </c>
      <c r="AC343">
        <v>167.5</v>
      </c>
      <c r="AD343">
        <v>172.6</v>
      </c>
    </row>
    <row r="344" spans="1:30" x14ac:dyDescent="0.35">
      <c r="A344" t="s">
        <v>30</v>
      </c>
      <c r="B344">
        <v>2022</v>
      </c>
      <c r="C344" t="s">
        <v>39</v>
      </c>
      <c r="D344">
        <v>155.19999999999999</v>
      </c>
      <c r="E344">
        <v>210.8</v>
      </c>
      <c r="F344">
        <v>174.3</v>
      </c>
      <c r="G344">
        <v>166.3</v>
      </c>
      <c r="H344">
        <v>169.6</v>
      </c>
      <c r="I344">
        <v>168.6</v>
      </c>
      <c r="J344">
        <v>164.4</v>
      </c>
      <c r="K344">
        <v>119.2</v>
      </c>
      <c r="L344">
        <v>191.8</v>
      </c>
      <c r="M344">
        <v>174.5</v>
      </c>
      <c r="N344">
        <v>183.1</v>
      </c>
      <c r="O344">
        <v>172.5</v>
      </c>
      <c r="P344">
        <v>202.2</v>
      </c>
      <c r="Q344">
        <v>182</v>
      </c>
      <c r="R344">
        <v>180.3</v>
      </c>
      <c r="S344">
        <v>181.7</v>
      </c>
      <c r="T344">
        <v>171.3</v>
      </c>
      <c r="U344">
        <v>139.2551</v>
      </c>
      <c r="V344">
        <v>179.6</v>
      </c>
      <c r="W344">
        <v>166.3</v>
      </c>
      <c r="X344">
        <v>168.6</v>
      </c>
      <c r="Y344">
        <v>169.7</v>
      </c>
      <c r="Z344">
        <v>178.8</v>
      </c>
      <c r="AA344">
        <v>174.7</v>
      </c>
      <c r="AB344">
        <v>193.2</v>
      </c>
      <c r="AC344">
        <v>171.8</v>
      </c>
      <c r="AD344">
        <v>174.3</v>
      </c>
    </row>
    <row r="345" spans="1:30" x14ac:dyDescent="0.35">
      <c r="A345" t="s">
        <v>32</v>
      </c>
      <c r="B345">
        <v>2022</v>
      </c>
      <c r="C345" t="s">
        <v>39</v>
      </c>
      <c r="D345">
        <v>159.30000000000001</v>
      </c>
      <c r="E345">
        <v>217.1</v>
      </c>
      <c r="F345">
        <v>176.6</v>
      </c>
      <c r="G345">
        <v>167.1</v>
      </c>
      <c r="H345">
        <v>179.5</v>
      </c>
      <c r="I345">
        <v>208.5</v>
      </c>
      <c r="J345">
        <v>164</v>
      </c>
      <c r="K345">
        <v>121.5</v>
      </c>
      <c r="L345">
        <v>186.3</v>
      </c>
      <c r="M345">
        <v>159.80000000000001</v>
      </c>
      <c r="N345">
        <v>187.7</v>
      </c>
      <c r="O345">
        <v>179.4</v>
      </c>
      <c r="P345">
        <v>184.8</v>
      </c>
      <c r="Q345">
        <v>172.7</v>
      </c>
      <c r="R345">
        <v>158.69999999999999</v>
      </c>
      <c r="S345">
        <v>170.6</v>
      </c>
      <c r="T345">
        <v>163.1</v>
      </c>
      <c r="U345">
        <v>167.8</v>
      </c>
      <c r="V345">
        <v>179.5</v>
      </c>
      <c r="W345">
        <v>157.4</v>
      </c>
      <c r="X345">
        <v>164.6</v>
      </c>
      <c r="Y345">
        <v>169.8</v>
      </c>
      <c r="Z345">
        <v>171.7</v>
      </c>
      <c r="AA345">
        <v>169.1</v>
      </c>
      <c r="AB345">
        <v>198.6</v>
      </c>
      <c r="AC345">
        <v>164.7</v>
      </c>
      <c r="AD345">
        <v>172.3</v>
      </c>
    </row>
    <row r="346" spans="1:30" x14ac:dyDescent="0.35">
      <c r="A346" t="s">
        <v>33</v>
      </c>
      <c r="B346">
        <v>2022</v>
      </c>
      <c r="C346" t="s">
        <v>39</v>
      </c>
      <c r="D346">
        <v>156.5</v>
      </c>
      <c r="E346">
        <v>213</v>
      </c>
      <c r="F346">
        <v>175.2</v>
      </c>
      <c r="G346">
        <v>166.6</v>
      </c>
      <c r="H346">
        <v>174.2</v>
      </c>
      <c r="I346">
        <v>182.1</v>
      </c>
      <c r="J346">
        <v>164.3</v>
      </c>
      <c r="K346">
        <v>120</v>
      </c>
      <c r="L346">
        <v>190</v>
      </c>
      <c r="M346">
        <v>168.4</v>
      </c>
      <c r="N346">
        <v>185.2</v>
      </c>
      <c r="O346">
        <v>175</v>
      </c>
      <c r="P346">
        <v>195.8</v>
      </c>
      <c r="Q346">
        <v>178.3</v>
      </c>
      <c r="R346">
        <v>171.3</v>
      </c>
      <c r="S346">
        <v>177.3</v>
      </c>
      <c r="T346">
        <v>167.4</v>
      </c>
      <c r="U346">
        <v>167.8</v>
      </c>
      <c r="V346">
        <v>179.6</v>
      </c>
      <c r="W346">
        <v>161.6</v>
      </c>
      <c r="X346">
        <v>166.3</v>
      </c>
      <c r="Y346">
        <v>169.7</v>
      </c>
      <c r="Z346">
        <v>176.1</v>
      </c>
      <c r="AA346">
        <v>171.4</v>
      </c>
      <c r="AB346">
        <v>194.6</v>
      </c>
      <c r="AC346">
        <v>168.4</v>
      </c>
      <c r="AD346">
        <v>173.4</v>
      </c>
    </row>
    <row r="347" spans="1:30" x14ac:dyDescent="0.35">
      <c r="A347" t="s">
        <v>30</v>
      </c>
      <c r="B347">
        <v>2022</v>
      </c>
      <c r="C347" t="s">
        <v>40</v>
      </c>
      <c r="D347">
        <v>159.5</v>
      </c>
      <c r="E347">
        <v>204.1</v>
      </c>
      <c r="F347">
        <v>168.3</v>
      </c>
      <c r="G347">
        <v>167.9</v>
      </c>
      <c r="H347">
        <v>169.2</v>
      </c>
      <c r="I347">
        <v>173.1</v>
      </c>
      <c r="J347">
        <v>167.1</v>
      </c>
      <c r="K347">
        <v>120.2</v>
      </c>
      <c r="L347">
        <v>195.6</v>
      </c>
      <c r="M347">
        <v>174.8</v>
      </c>
      <c r="N347">
        <v>184</v>
      </c>
      <c r="O347">
        <v>173.9</v>
      </c>
      <c r="P347">
        <v>198.1</v>
      </c>
      <c r="Q347">
        <v>183.2</v>
      </c>
      <c r="R347">
        <v>181.7</v>
      </c>
      <c r="S347">
        <v>183</v>
      </c>
      <c r="T347">
        <v>172.3</v>
      </c>
      <c r="U347">
        <v>139.2551</v>
      </c>
      <c r="V347">
        <v>179.1</v>
      </c>
      <c r="W347">
        <v>166.6</v>
      </c>
      <c r="X347">
        <v>169.3</v>
      </c>
      <c r="Y347">
        <v>171.1</v>
      </c>
      <c r="Z347">
        <v>179.4</v>
      </c>
      <c r="AA347">
        <v>175.7</v>
      </c>
      <c r="AB347">
        <v>193.7</v>
      </c>
      <c r="AC347">
        <v>172.6</v>
      </c>
      <c r="AD347">
        <v>175.3</v>
      </c>
    </row>
    <row r="348" spans="1:30" x14ac:dyDescent="0.35">
      <c r="A348" t="s">
        <v>32</v>
      </c>
      <c r="B348">
        <v>2022</v>
      </c>
      <c r="C348" t="s">
        <v>40</v>
      </c>
      <c r="D348">
        <v>162.1</v>
      </c>
      <c r="E348">
        <v>210.9</v>
      </c>
      <c r="F348">
        <v>170.6</v>
      </c>
      <c r="G348">
        <v>168.4</v>
      </c>
      <c r="H348">
        <v>177.1</v>
      </c>
      <c r="I348">
        <v>213.1</v>
      </c>
      <c r="J348">
        <v>167.3</v>
      </c>
      <c r="K348">
        <v>122.2</v>
      </c>
      <c r="L348">
        <v>189.7</v>
      </c>
      <c r="M348">
        <v>160.5</v>
      </c>
      <c r="N348">
        <v>188.9</v>
      </c>
      <c r="O348">
        <v>180.4</v>
      </c>
      <c r="P348">
        <v>182.5</v>
      </c>
      <c r="Q348">
        <v>173.7</v>
      </c>
      <c r="R348">
        <v>160</v>
      </c>
      <c r="S348">
        <v>171.6</v>
      </c>
      <c r="T348">
        <v>164.2</v>
      </c>
      <c r="U348">
        <v>169</v>
      </c>
      <c r="V348">
        <v>178.4</v>
      </c>
      <c r="W348">
        <v>157.69999999999999</v>
      </c>
      <c r="X348">
        <v>165.1</v>
      </c>
      <c r="Y348">
        <v>171.4</v>
      </c>
      <c r="Z348">
        <v>172.6</v>
      </c>
      <c r="AA348">
        <v>169.9</v>
      </c>
      <c r="AB348">
        <v>198.7</v>
      </c>
      <c r="AC348">
        <v>165.4</v>
      </c>
      <c r="AD348">
        <v>173.1</v>
      </c>
    </row>
    <row r="349" spans="1:30" x14ac:dyDescent="0.35">
      <c r="A349" t="s">
        <v>33</v>
      </c>
      <c r="B349">
        <v>2022</v>
      </c>
      <c r="C349" t="s">
        <v>40</v>
      </c>
      <c r="D349">
        <v>160.30000000000001</v>
      </c>
      <c r="E349">
        <v>206.5</v>
      </c>
      <c r="F349">
        <v>169.2</v>
      </c>
      <c r="G349">
        <v>168.1</v>
      </c>
      <c r="H349">
        <v>172.9</v>
      </c>
      <c r="I349">
        <v>186.7</v>
      </c>
      <c r="J349">
        <v>167.2</v>
      </c>
      <c r="K349">
        <v>120.9</v>
      </c>
      <c r="L349">
        <v>193.6</v>
      </c>
      <c r="M349">
        <v>168.8</v>
      </c>
      <c r="N349">
        <v>186.3</v>
      </c>
      <c r="O349">
        <v>176.3</v>
      </c>
      <c r="P349">
        <v>192.4</v>
      </c>
      <c r="Q349">
        <v>179.5</v>
      </c>
      <c r="R349">
        <v>172.7</v>
      </c>
      <c r="S349">
        <v>178.5</v>
      </c>
      <c r="T349">
        <v>168.5</v>
      </c>
      <c r="U349">
        <v>169</v>
      </c>
      <c r="V349">
        <v>178.8</v>
      </c>
      <c r="W349">
        <v>161.9</v>
      </c>
      <c r="X349">
        <v>166.9</v>
      </c>
      <c r="Y349">
        <v>171.2</v>
      </c>
      <c r="Z349">
        <v>176.8</v>
      </c>
      <c r="AA349">
        <v>172.3</v>
      </c>
      <c r="AB349">
        <v>195</v>
      </c>
      <c r="AC349">
        <v>169.1</v>
      </c>
      <c r="AD349">
        <v>174.3</v>
      </c>
    </row>
    <row r="350" spans="1:30" x14ac:dyDescent="0.35">
      <c r="A350" t="s">
        <v>30</v>
      </c>
      <c r="B350">
        <v>2022</v>
      </c>
      <c r="C350" t="s">
        <v>41</v>
      </c>
      <c r="D350">
        <v>162.9</v>
      </c>
      <c r="E350">
        <v>206.7</v>
      </c>
      <c r="F350">
        <v>169</v>
      </c>
      <c r="G350">
        <v>169.5</v>
      </c>
      <c r="H350">
        <v>164.1</v>
      </c>
      <c r="I350">
        <v>176.9</v>
      </c>
      <c r="J350">
        <v>169</v>
      </c>
      <c r="K350">
        <v>120.8</v>
      </c>
      <c r="L350">
        <v>199.1</v>
      </c>
      <c r="M350">
        <v>175.4</v>
      </c>
      <c r="N350">
        <v>184.8</v>
      </c>
      <c r="O350">
        <v>175.5</v>
      </c>
      <c r="P350">
        <v>194.1</v>
      </c>
      <c r="Q350">
        <v>184.7</v>
      </c>
      <c r="R350">
        <v>183.3</v>
      </c>
      <c r="S350">
        <v>184.5</v>
      </c>
      <c r="T350">
        <v>173.6</v>
      </c>
      <c r="U350">
        <v>139.2551</v>
      </c>
      <c r="V350">
        <v>179.7</v>
      </c>
      <c r="W350">
        <v>166.9</v>
      </c>
      <c r="X350">
        <v>170</v>
      </c>
      <c r="Y350">
        <v>170.8</v>
      </c>
      <c r="Z350">
        <v>180.2</v>
      </c>
      <c r="AA350">
        <v>176.2</v>
      </c>
      <c r="AB350">
        <v>194.5</v>
      </c>
      <c r="AC350">
        <v>173.1</v>
      </c>
      <c r="AD350">
        <v>176.4</v>
      </c>
    </row>
    <row r="351" spans="1:30" x14ac:dyDescent="0.35">
      <c r="A351" t="s">
        <v>32</v>
      </c>
      <c r="B351">
        <v>2022</v>
      </c>
      <c r="C351" t="s">
        <v>41</v>
      </c>
      <c r="D351">
        <v>164.9</v>
      </c>
      <c r="E351">
        <v>213.7</v>
      </c>
      <c r="F351">
        <v>170.9</v>
      </c>
      <c r="G351">
        <v>170.1</v>
      </c>
      <c r="H351">
        <v>167.5</v>
      </c>
      <c r="I351">
        <v>220.8</v>
      </c>
      <c r="J351">
        <v>169.2</v>
      </c>
      <c r="K351">
        <v>123.1</v>
      </c>
      <c r="L351">
        <v>193.6</v>
      </c>
      <c r="M351">
        <v>161.1</v>
      </c>
      <c r="N351">
        <v>190.4</v>
      </c>
      <c r="O351">
        <v>181.8</v>
      </c>
      <c r="P351">
        <v>179.3</v>
      </c>
      <c r="Q351">
        <v>175</v>
      </c>
      <c r="R351">
        <v>161.69999999999999</v>
      </c>
      <c r="S351">
        <v>173</v>
      </c>
      <c r="T351">
        <v>165</v>
      </c>
      <c r="U351">
        <v>169.5</v>
      </c>
      <c r="V351">
        <v>179.2</v>
      </c>
      <c r="W351">
        <v>158.19999999999999</v>
      </c>
      <c r="X351">
        <v>165.8</v>
      </c>
      <c r="Y351">
        <v>171.1</v>
      </c>
      <c r="Z351">
        <v>173.8</v>
      </c>
      <c r="AA351">
        <v>170.9</v>
      </c>
      <c r="AB351">
        <v>199.7</v>
      </c>
      <c r="AC351">
        <v>166.1</v>
      </c>
      <c r="AD351">
        <v>174.1</v>
      </c>
    </row>
    <row r="352" spans="1:30" x14ac:dyDescent="0.35">
      <c r="A352" t="s">
        <v>33</v>
      </c>
      <c r="B352">
        <v>2022</v>
      </c>
      <c r="C352" t="s">
        <v>41</v>
      </c>
      <c r="D352">
        <v>163.5</v>
      </c>
      <c r="E352">
        <v>209.2</v>
      </c>
      <c r="F352">
        <v>169.7</v>
      </c>
      <c r="G352">
        <v>169.7</v>
      </c>
      <c r="H352">
        <v>165.7</v>
      </c>
      <c r="I352">
        <v>191.8</v>
      </c>
      <c r="J352">
        <v>169.1</v>
      </c>
      <c r="K352">
        <v>121.6</v>
      </c>
      <c r="L352">
        <v>197.3</v>
      </c>
      <c r="M352">
        <v>169.4</v>
      </c>
      <c r="N352">
        <v>187.4</v>
      </c>
      <c r="O352">
        <v>177.8</v>
      </c>
      <c r="P352">
        <v>188.7</v>
      </c>
      <c r="Q352">
        <v>180.9</v>
      </c>
      <c r="R352">
        <v>174.3</v>
      </c>
      <c r="S352">
        <v>179.9</v>
      </c>
      <c r="T352">
        <v>169.5</v>
      </c>
      <c r="U352">
        <v>169.5</v>
      </c>
      <c r="V352">
        <v>179.5</v>
      </c>
      <c r="W352">
        <v>162.30000000000001</v>
      </c>
      <c r="X352">
        <v>167.6</v>
      </c>
      <c r="Y352">
        <v>170.9</v>
      </c>
      <c r="Z352">
        <v>177.8</v>
      </c>
      <c r="AA352">
        <v>173.1</v>
      </c>
      <c r="AB352">
        <v>195.9</v>
      </c>
      <c r="AC352">
        <v>169.7</v>
      </c>
      <c r="AD352">
        <v>175.3</v>
      </c>
    </row>
    <row r="353" spans="1:30" x14ac:dyDescent="0.35">
      <c r="A353" t="s">
        <v>30</v>
      </c>
      <c r="B353">
        <v>2022</v>
      </c>
      <c r="C353" t="s">
        <v>42</v>
      </c>
      <c r="D353">
        <v>164.7</v>
      </c>
      <c r="E353">
        <v>208.8</v>
      </c>
      <c r="F353">
        <v>170.3</v>
      </c>
      <c r="G353">
        <v>170.9</v>
      </c>
      <c r="H353">
        <v>162.19999999999999</v>
      </c>
      <c r="I353">
        <v>184.8</v>
      </c>
      <c r="J353">
        <v>169.7</v>
      </c>
      <c r="K353">
        <v>121.1</v>
      </c>
      <c r="L353">
        <v>201.6</v>
      </c>
      <c r="M353">
        <v>175.8</v>
      </c>
      <c r="N353">
        <v>185.6</v>
      </c>
      <c r="O353">
        <v>177.4</v>
      </c>
      <c r="P353">
        <v>191.6</v>
      </c>
      <c r="Q353">
        <v>186.1</v>
      </c>
      <c r="R353">
        <v>184.4</v>
      </c>
      <c r="S353">
        <v>185.9</v>
      </c>
      <c r="T353">
        <v>174.4</v>
      </c>
      <c r="U353">
        <v>139.2551</v>
      </c>
      <c r="V353">
        <v>180.8</v>
      </c>
      <c r="W353">
        <v>167.4</v>
      </c>
      <c r="X353">
        <v>170.6</v>
      </c>
      <c r="Y353">
        <v>172</v>
      </c>
      <c r="Z353">
        <v>181.2</v>
      </c>
      <c r="AA353">
        <v>176.5</v>
      </c>
      <c r="AB353">
        <v>194.9</v>
      </c>
      <c r="AC353">
        <v>173.9</v>
      </c>
      <c r="AD353">
        <v>177.9</v>
      </c>
    </row>
    <row r="354" spans="1:30" x14ac:dyDescent="0.35">
      <c r="A354" t="s">
        <v>32</v>
      </c>
      <c r="B354">
        <v>2022</v>
      </c>
      <c r="C354" t="s">
        <v>42</v>
      </c>
      <c r="D354">
        <v>166.4</v>
      </c>
      <c r="E354">
        <v>214.9</v>
      </c>
      <c r="F354">
        <v>171.9</v>
      </c>
      <c r="G354">
        <v>171</v>
      </c>
      <c r="H354">
        <v>165.7</v>
      </c>
      <c r="I354">
        <v>228.6</v>
      </c>
      <c r="J354">
        <v>169.9</v>
      </c>
      <c r="K354">
        <v>123.4</v>
      </c>
      <c r="L354">
        <v>196.4</v>
      </c>
      <c r="M354">
        <v>161.6</v>
      </c>
      <c r="N354">
        <v>191.5</v>
      </c>
      <c r="O354">
        <v>183.3</v>
      </c>
      <c r="P354">
        <v>177.7</v>
      </c>
      <c r="Q354">
        <v>175.5</v>
      </c>
      <c r="R354">
        <v>162.6</v>
      </c>
      <c r="S354">
        <v>173.6</v>
      </c>
      <c r="T354">
        <v>166</v>
      </c>
      <c r="U354">
        <v>171.2</v>
      </c>
      <c r="V354">
        <v>180</v>
      </c>
      <c r="W354">
        <v>158.80000000000001</v>
      </c>
      <c r="X354">
        <v>166.3</v>
      </c>
      <c r="Y354">
        <v>172.3</v>
      </c>
      <c r="Z354">
        <v>174.7</v>
      </c>
      <c r="AA354">
        <v>171.2</v>
      </c>
      <c r="AB354">
        <v>200.1</v>
      </c>
      <c r="AC354">
        <v>166.8</v>
      </c>
      <c r="AD354">
        <v>175.3</v>
      </c>
    </row>
    <row r="355" spans="1:30" x14ac:dyDescent="0.35">
      <c r="A355" t="s">
        <v>33</v>
      </c>
      <c r="B355">
        <v>2022</v>
      </c>
      <c r="C355" t="s">
        <v>42</v>
      </c>
      <c r="D355">
        <v>165.2</v>
      </c>
      <c r="E355">
        <v>210.9</v>
      </c>
      <c r="F355">
        <v>170.9</v>
      </c>
      <c r="G355">
        <v>170.9</v>
      </c>
      <c r="H355">
        <v>163.80000000000001</v>
      </c>
      <c r="I355">
        <v>199.7</v>
      </c>
      <c r="J355">
        <v>169.8</v>
      </c>
      <c r="K355">
        <v>121.9</v>
      </c>
      <c r="L355">
        <v>199.9</v>
      </c>
      <c r="M355">
        <v>169.9</v>
      </c>
      <c r="N355">
        <v>188.3</v>
      </c>
      <c r="O355">
        <v>179.6</v>
      </c>
      <c r="P355">
        <v>186.5</v>
      </c>
      <c r="Q355">
        <v>181.9</v>
      </c>
      <c r="R355">
        <v>175.3</v>
      </c>
      <c r="S355">
        <v>181</v>
      </c>
      <c r="T355">
        <v>170.4</v>
      </c>
      <c r="U355">
        <v>171.2</v>
      </c>
      <c r="V355">
        <v>180.5</v>
      </c>
      <c r="W355">
        <v>162.9</v>
      </c>
      <c r="X355">
        <v>168.2</v>
      </c>
      <c r="Y355">
        <v>172.1</v>
      </c>
      <c r="Z355">
        <v>178.7</v>
      </c>
      <c r="AA355">
        <v>173.4</v>
      </c>
      <c r="AB355">
        <v>196.3</v>
      </c>
      <c r="AC355">
        <v>170.5</v>
      </c>
      <c r="AD355">
        <v>176.7</v>
      </c>
    </row>
    <row r="356" spans="1:30" x14ac:dyDescent="0.35">
      <c r="A356" t="s">
        <v>30</v>
      </c>
      <c r="B356">
        <v>2022</v>
      </c>
      <c r="C356" t="s">
        <v>44</v>
      </c>
      <c r="D356">
        <v>166.9</v>
      </c>
      <c r="E356">
        <v>207.2</v>
      </c>
      <c r="F356">
        <v>180.2</v>
      </c>
      <c r="G356">
        <v>172.3</v>
      </c>
      <c r="H356">
        <v>159.1</v>
      </c>
      <c r="I356">
        <v>171.6</v>
      </c>
      <c r="J356">
        <v>170.2</v>
      </c>
      <c r="K356">
        <v>121.5</v>
      </c>
      <c r="L356">
        <v>204.8</v>
      </c>
      <c r="M356">
        <v>176.4</v>
      </c>
      <c r="N356">
        <v>186.9</v>
      </c>
      <c r="O356">
        <v>176.6</v>
      </c>
      <c r="P356">
        <v>194</v>
      </c>
      <c r="Q356">
        <v>187.2</v>
      </c>
      <c r="R356">
        <v>185.2</v>
      </c>
      <c r="S356">
        <v>186.9</v>
      </c>
      <c r="T356">
        <v>175.5</v>
      </c>
      <c r="U356">
        <v>139.2551</v>
      </c>
      <c r="V356">
        <v>181.9</v>
      </c>
      <c r="W356">
        <v>167.5</v>
      </c>
      <c r="X356">
        <v>170.8</v>
      </c>
      <c r="Y356">
        <v>173.4</v>
      </c>
      <c r="Z356">
        <v>182.3</v>
      </c>
      <c r="AA356">
        <v>176.9</v>
      </c>
      <c r="AB356">
        <v>195.5</v>
      </c>
      <c r="AC356">
        <v>174.6</v>
      </c>
      <c r="AD356">
        <v>177.8</v>
      </c>
    </row>
    <row r="357" spans="1:30" x14ac:dyDescent="0.35">
      <c r="A357" t="s">
        <v>32</v>
      </c>
      <c r="B357">
        <v>2022</v>
      </c>
      <c r="C357" t="s">
        <v>44</v>
      </c>
      <c r="D357">
        <v>168.4</v>
      </c>
      <c r="E357">
        <v>213.4</v>
      </c>
      <c r="F357">
        <v>183.2</v>
      </c>
      <c r="G357">
        <v>172.3</v>
      </c>
      <c r="H357">
        <v>162.6</v>
      </c>
      <c r="I357">
        <v>205.5</v>
      </c>
      <c r="J357">
        <v>171</v>
      </c>
      <c r="K357">
        <v>123.4</v>
      </c>
      <c r="L357">
        <v>198.8</v>
      </c>
      <c r="M357">
        <v>162.1</v>
      </c>
      <c r="N357">
        <v>192.4</v>
      </c>
      <c r="O357">
        <v>181.3</v>
      </c>
      <c r="P357">
        <v>180</v>
      </c>
      <c r="Q357">
        <v>176.7</v>
      </c>
      <c r="R357">
        <v>163.5</v>
      </c>
      <c r="S357">
        <v>174.7</v>
      </c>
      <c r="T357">
        <v>166.9</v>
      </c>
      <c r="U357">
        <v>171.8</v>
      </c>
      <c r="V357">
        <v>180.3</v>
      </c>
      <c r="W357">
        <v>158.9</v>
      </c>
      <c r="X357">
        <v>166.7</v>
      </c>
      <c r="Y357">
        <v>173.8</v>
      </c>
      <c r="Z357">
        <v>175.8</v>
      </c>
      <c r="AA357">
        <v>171.5</v>
      </c>
      <c r="AB357">
        <v>200.6</v>
      </c>
      <c r="AC357">
        <v>167.4</v>
      </c>
      <c r="AD357">
        <v>174.1</v>
      </c>
    </row>
    <row r="358" spans="1:30" x14ac:dyDescent="0.35">
      <c r="A358" t="s">
        <v>33</v>
      </c>
      <c r="B358">
        <v>2022</v>
      </c>
      <c r="C358" t="s">
        <v>44</v>
      </c>
      <c r="D358">
        <v>167.4</v>
      </c>
      <c r="E358">
        <v>209.4</v>
      </c>
      <c r="F358">
        <v>181.4</v>
      </c>
      <c r="G358">
        <v>172.3</v>
      </c>
      <c r="H358">
        <v>160.69999999999999</v>
      </c>
      <c r="I358">
        <v>183.1</v>
      </c>
      <c r="J358">
        <v>170.5</v>
      </c>
      <c r="K358">
        <v>122.1</v>
      </c>
      <c r="L358">
        <v>202.8</v>
      </c>
      <c r="M358">
        <v>170.4</v>
      </c>
      <c r="N358">
        <v>189.5</v>
      </c>
      <c r="O358">
        <v>178.3</v>
      </c>
      <c r="P358">
        <v>188.9</v>
      </c>
      <c r="Q358">
        <v>183.1</v>
      </c>
      <c r="R358">
        <v>176.2</v>
      </c>
      <c r="S358">
        <v>182.1</v>
      </c>
      <c r="T358">
        <v>171.4</v>
      </c>
      <c r="U358">
        <v>171.8</v>
      </c>
      <c r="V358">
        <v>181.3</v>
      </c>
      <c r="W358">
        <v>163</v>
      </c>
      <c r="X358">
        <v>168.5</v>
      </c>
      <c r="Y358">
        <v>173.6</v>
      </c>
      <c r="Z358">
        <v>179.8</v>
      </c>
      <c r="AA358">
        <v>173.7</v>
      </c>
      <c r="AB358">
        <v>196.9</v>
      </c>
      <c r="AC358">
        <v>171.1</v>
      </c>
      <c r="AD358">
        <v>176.5</v>
      </c>
    </row>
    <row r="359" spans="1:30" x14ac:dyDescent="0.35">
      <c r="A359" t="s">
        <v>30</v>
      </c>
      <c r="B359">
        <v>2022</v>
      </c>
      <c r="C359" t="s">
        <v>45</v>
      </c>
      <c r="D359">
        <v>168.8</v>
      </c>
      <c r="E359">
        <v>206.9</v>
      </c>
      <c r="F359">
        <v>189.1</v>
      </c>
      <c r="G359">
        <v>173.4</v>
      </c>
      <c r="H359">
        <v>156.69999999999999</v>
      </c>
      <c r="I359">
        <v>150.19999999999999</v>
      </c>
      <c r="J359">
        <v>170.5</v>
      </c>
      <c r="K359">
        <v>121.2</v>
      </c>
      <c r="L359">
        <v>207.5</v>
      </c>
      <c r="M359">
        <v>176.8</v>
      </c>
      <c r="N359">
        <v>187.7</v>
      </c>
      <c r="O359">
        <v>174.4</v>
      </c>
      <c r="P359">
        <v>193.9</v>
      </c>
      <c r="Q359">
        <v>188.1</v>
      </c>
      <c r="R359">
        <v>185.9</v>
      </c>
      <c r="S359">
        <v>187.8</v>
      </c>
      <c r="T359">
        <v>176.4</v>
      </c>
      <c r="U359">
        <v>139.2551</v>
      </c>
      <c r="V359">
        <v>182.8</v>
      </c>
      <c r="W359">
        <v>167.8</v>
      </c>
      <c r="X359">
        <v>171.2</v>
      </c>
      <c r="Y359">
        <v>175.7</v>
      </c>
      <c r="Z359">
        <v>183.5</v>
      </c>
      <c r="AA359">
        <v>177.3</v>
      </c>
      <c r="AB359">
        <v>195.9</v>
      </c>
      <c r="AC359">
        <v>175.5</v>
      </c>
      <c r="AD359">
        <v>177.1</v>
      </c>
    </row>
    <row r="360" spans="1:30" x14ac:dyDescent="0.35">
      <c r="A360" t="s">
        <v>32</v>
      </c>
      <c r="B360">
        <v>2022</v>
      </c>
      <c r="C360" t="s">
        <v>45</v>
      </c>
      <c r="D360">
        <v>170.2</v>
      </c>
      <c r="E360">
        <v>212.9</v>
      </c>
      <c r="F360">
        <v>191.9</v>
      </c>
      <c r="G360">
        <v>173.9</v>
      </c>
      <c r="H360">
        <v>159.5</v>
      </c>
      <c r="I360">
        <v>178.7</v>
      </c>
      <c r="J360">
        <v>171.3</v>
      </c>
      <c r="K360">
        <v>123.1</v>
      </c>
      <c r="L360">
        <v>200.5</v>
      </c>
      <c r="M360">
        <v>162.80000000000001</v>
      </c>
      <c r="N360">
        <v>193.3</v>
      </c>
      <c r="O360">
        <v>178.6</v>
      </c>
      <c r="P360">
        <v>179.1</v>
      </c>
      <c r="Q360">
        <v>177.7</v>
      </c>
      <c r="R360">
        <v>164.5</v>
      </c>
      <c r="S360">
        <v>175.7</v>
      </c>
      <c r="T360">
        <v>167.3</v>
      </c>
      <c r="U360">
        <v>170.7</v>
      </c>
      <c r="V360">
        <v>180.6</v>
      </c>
      <c r="W360">
        <v>159.4</v>
      </c>
      <c r="X360">
        <v>167.1</v>
      </c>
      <c r="Y360">
        <v>176</v>
      </c>
      <c r="Z360">
        <v>177.2</v>
      </c>
      <c r="AA360">
        <v>171.8</v>
      </c>
      <c r="AB360">
        <v>201.1</v>
      </c>
      <c r="AC360">
        <v>168.2</v>
      </c>
      <c r="AD360">
        <v>174.1</v>
      </c>
    </row>
    <row r="361" spans="1:30" x14ac:dyDescent="0.35">
      <c r="A361" t="s">
        <v>33</v>
      </c>
      <c r="B361">
        <v>2022</v>
      </c>
      <c r="C361" t="s">
        <v>45</v>
      </c>
      <c r="D361">
        <v>169.2</v>
      </c>
      <c r="E361">
        <v>209</v>
      </c>
      <c r="F361">
        <v>190.2</v>
      </c>
      <c r="G361">
        <v>173.6</v>
      </c>
      <c r="H361">
        <v>158</v>
      </c>
      <c r="I361">
        <v>159.9</v>
      </c>
      <c r="J361">
        <v>170.8</v>
      </c>
      <c r="K361">
        <v>121.8</v>
      </c>
      <c r="L361">
        <v>205.2</v>
      </c>
      <c r="M361">
        <v>171</v>
      </c>
      <c r="N361">
        <v>190.3</v>
      </c>
      <c r="O361">
        <v>175.9</v>
      </c>
      <c r="P361">
        <v>188.5</v>
      </c>
      <c r="Q361">
        <v>184</v>
      </c>
      <c r="R361">
        <v>177</v>
      </c>
      <c r="S361">
        <v>183</v>
      </c>
      <c r="T361">
        <v>172.1</v>
      </c>
      <c r="U361">
        <v>170.7</v>
      </c>
      <c r="V361">
        <v>182</v>
      </c>
      <c r="W361">
        <v>163.4</v>
      </c>
      <c r="X361">
        <v>168.9</v>
      </c>
      <c r="Y361">
        <v>175.8</v>
      </c>
      <c r="Z361">
        <v>181.1</v>
      </c>
      <c r="AA361">
        <v>174.1</v>
      </c>
      <c r="AB361">
        <v>197.3</v>
      </c>
      <c r="AC361">
        <v>172</v>
      </c>
      <c r="AD361">
        <v>175.7</v>
      </c>
    </row>
    <row r="362" spans="1:30" x14ac:dyDescent="0.35">
      <c r="A362" t="s">
        <v>30</v>
      </c>
      <c r="B362">
        <v>2023</v>
      </c>
      <c r="C362" t="s">
        <v>31</v>
      </c>
      <c r="D362">
        <v>174</v>
      </c>
      <c r="E362">
        <v>208.3</v>
      </c>
      <c r="F362">
        <v>192.9</v>
      </c>
      <c r="G362">
        <v>174.3</v>
      </c>
      <c r="H362">
        <v>156.30000000000001</v>
      </c>
      <c r="I362">
        <v>142.9</v>
      </c>
      <c r="J362">
        <v>170.7</v>
      </c>
      <c r="K362">
        <v>120.3</v>
      </c>
      <c r="L362">
        <v>210.5</v>
      </c>
      <c r="M362">
        <v>176.9</v>
      </c>
      <c r="N362">
        <v>188.5</v>
      </c>
      <c r="O362">
        <v>175</v>
      </c>
      <c r="P362">
        <v>192.6</v>
      </c>
      <c r="Q362">
        <v>189</v>
      </c>
      <c r="R362">
        <v>186.3</v>
      </c>
      <c r="S362">
        <v>188.6</v>
      </c>
      <c r="T362">
        <v>177.2</v>
      </c>
      <c r="U362">
        <v>139.2551</v>
      </c>
      <c r="V362">
        <v>183.2</v>
      </c>
      <c r="W362">
        <v>168.2</v>
      </c>
      <c r="X362">
        <v>171.8</v>
      </c>
      <c r="Y362">
        <v>178.4</v>
      </c>
      <c r="Z362">
        <v>184.7</v>
      </c>
      <c r="AA362">
        <v>177.8</v>
      </c>
      <c r="AB362">
        <v>196.9</v>
      </c>
      <c r="AC362">
        <v>176.5</v>
      </c>
      <c r="AD362">
        <v>177.8</v>
      </c>
    </row>
    <row r="363" spans="1:30" x14ac:dyDescent="0.35">
      <c r="A363" t="s">
        <v>32</v>
      </c>
      <c r="B363">
        <v>2023</v>
      </c>
      <c r="C363" t="s">
        <v>31</v>
      </c>
      <c r="D363">
        <v>173.3</v>
      </c>
      <c r="E363">
        <v>215.2</v>
      </c>
      <c r="F363">
        <v>197</v>
      </c>
      <c r="G363">
        <v>175.2</v>
      </c>
      <c r="H363">
        <v>160.5</v>
      </c>
      <c r="I363">
        <v>175.3</v>
      </c>
      <c r="J363">
        <v>171.2</v>
      </c>
      <c r="K363">
        <v>122.7</v>
      </c>
      <c r="L363">
        <v>204.3</v>
      </c>
      <c r="M363">
        <v>163.69999999999999</v>
      </c>
      <c r="N363">
        <v>194.3</v>
      </c>
      <c r="O363">
        <v>179.5</v>
      </c>
      <c r="P363">
        <v>178</v>
      </c>
      <c r="Q363">
        <v>178.7</v>
      </c>
      <c r="R363">
        <v>165.3</v>
      </c>
      <c r="S363">
        <v>176.6</v>
      </c>
      <c r="T363">
        <v>168</v>
      </c>
      <c r="U363">
        <v>172.1</v>
      </c>
      <c r="V363">
        <v>180.1</v>
      </c>
      <c r="W363">
        <v>159.5</v>
      </c>
      <c r="X363">
        <v>167.8</v>
      </c>
      <c r="Y363">
        <v>178.8</v>
      </c>
      <c r="Z363">
        <v>178.5</v>
      </c>
      <c r="AA363">
        <v>171.8</v>
      </c>
      <c r="AB363">
        <v>201.6</v>
      </c>
      <c r="AC363">
        <v>168.9</v>
      </c>
      <c r="AD363">
        <v>174.9</v>
      </c>
    </row>
    <row r="364" spans="1:30" x14ac:dyDescent="0.35">
      <c r="A364" t="s">
        <v>33</v>
      </c>
      <c r="B364">
        <v>2023</v>
      </c>
      <c r="C364" t="s">
        <v>31</v>
      </c>
      <c r="D364">
        <v>173.8</v>
      </c>
      <c r="E364">
        <v>210.7</v>
      </c>
      <c r="F364">
        <v>194.5</v>
      </c>
      <c r="G364">
        <v>174.6</v>
      </c>
      <c r="H364">
        <v>158.30000000000001</v>
      </c>
      <c r="I364">
        <v>153.9</v>
      </c>
      <c r="J364">
        <v>170.9</v>
      </c>
      <c r="K364">
        <v>121.1</v>
      </c>
      <c r="L364">
        <v>208.4</v>
      </c>
      <c r="M364">
        <v>171.4</v>
      </c>
      <c r="N364">
        <v>191.2</v>
      </c>
      <c r="O364">
        <v>176.7</v>
      </c>
      <c r="P364">
        <v>187.2</v>
      </c>
      <c r="Q364">
        <v>184.9</v>
      </c>
      <c r="R364">
        <v>177.6</v>
      </c>
      <c r="S364">
        <v>183.8</v>
      </c>
      <c r="T364">
        <v>172.9</v>
      </c>
      <c r="U364">
        <v>172.1</v>
      </c>
      <c r="V364">
        <v>182</v>
      </c>
      <c r="W364">
        <v>163.6</v>
      </c>
      <c r="X364">
        <v>169.5</v>
      </c>
      <c r="Y364">
        <v>178.6</v>
      </c>
      <c r="Z364">
        <v>182.3</v>
      </c>
      <c r="AA364">
        <v>174.3</v>
      </c>
      <c r="AB364">
        <v>198.2</v>
      </c>
      <c r="AC364">
        <v>172.8</v>
      </c>
      <c r="AD364">
        <v>176.5</v>
      </c>
    </row>
    <row r="365" spans="1:30" x14ac:dyDescent="0.35">
      <c r="A365" t="s">
        <v>30</v>
      </c>
      <c r="B365">
        <v>2023</v>
      </c>
      <c r="C365" t="s">
        <v>34</v>
      </c>
      <c r="D365">
        <v>174.2</v>
      </c>
      <c r="E365">
        <v>205.2</v>
      </c>
      <c r="F365">
        <v>173.9</v>
      </c>
      <c r="G365">
        <v>177</v>
      </c>
      <c r="H365">
        <v>167.2</v>
      </c>
      <c r="I365">
        <v>140.9</v>
      </c>
      <c r="J365">
        <v>170.4</v>
      </c>
      <c r="K365">
        <v>119.1</v>
      </c>
      <c r="L365">
        <v>212.1</v>
      </c>
      <c r="M365">
        <v>177.6</v>
      </c>
      <c r="N365">
        <v>189.9</v>
      </c>
      <c r="O365">
        <v>174.8</v>
      </c>
      <c r="P365">
        <v>183.4</v>
      </c>
      <c r="Q365">
        <v>190</v>
      </c>
      <c r="R365">
        <v>187</v>
      </c>
      <c r="S365">
        <v>189.6</v>
      </c>
      <c r="T365">
        <v>178.6</v>
      </c>
      <c r="U365">
        <v>139.2551</v>
      </c>
      <c r="V365">
        <v>181.6</v>
      </c>
      <c r="W365">
        <v>169</v>
      </c>
      <c r="X365">
        <v>172.8</v>
      </c>
      <c r="Y365">
        <v>180.7</v>
      </c>
      <c r="Z365">
        <v>186.6</v>
      </c>
      <c r="AA365">
        <v>178.5</v>
      </c>
      <c r="AB365">
        <v>198.3</v>
      </c>
      <c r="AC365">
        <v>177.9</v>
      </c>
      <c r="AD365">
        <v>178</v>
      </c>
    </row>
    <row r="366" spans="1:30" x14ac:dyDescent="0.35">
      <c r="A366" t="s">
        <v>32</v>
      </c>
      <c r="B366">
        <v>2023</v>
      </c>
      <c r="C366" t="s">
        <v>34</v>
      </c>
      <c r="D366">
        <v>174.7</v>
      </c>
      <c r="E366">
        <v>212.2</v>
      </c>
      <c r="F366">
        <v>177.2</v>
      </c>
      <c r="G366">
        <v>177.9</v>
      </c>
      <c r="H366">
        <v>172.1</v>
      </c>
      <c r="I366">
        <v>175.8</v>
      </c>
      <c r="J366">
        <v>172.2</v>
      </c>
      <c r="K366">
        <v>121.9</v>
      </c>
      <c r="L366">
        <v>204.8</v>
      </c>
      <c r="M366">
        <v>164.9</v>
      </c>
      <c r="N366">
        <v>196.6</v>
      </c>
      <c r="O366">
        <v>180.7</v>
      </c>
      <c r="P366">
        <v>172.2</v>
      </c>
      <c r="Q366">
        <v>180.3</v>
      </c>
      <c r="R366">
        <v>167</v>
      </c>
      <c r="S366">
        <v>178.2</v>
      </c>
      <c r="T366">
        <v>169.2</v>
      </c>
      <c r="U366">
        <v>173.5</v>
      </c>
      <c r="V366">
        <v>182.8</v>
      </c>
      <c r="W366">
        <v>159.80000000000001</v>
      </c>
      <c r="X366">
        <v>168.4</v>
      </c>
      <c r="Y366">
        <v>181.4</v>
      </c>
      <c r="Z366">
        <v>180.8</v>
      </c>
      <c r="AA366">
        <v>172.5</v>
      </c>
      <c r="AB366">
        <v>202.7</v>
      </c>
      <c r="AC366">
        <v>170</v>
      </c>
      <c r="AD366">
        <v>176.3</v>
      </c>
    </row>
    <row r="367" spans="1:30" x14ac:dyDescent="0.35">
      <c r="A367" t="s">
        <v>33</v>
      </c>
      <c r="B367">
        <v>2023</v>
      </c>
      <c r="C367" t="s">
        <v>34</v>
      </c>
      <c r="D367">
        <v>174.4</v>
      </c>
      <c r="E367">
        <v>207.7</v>
      </c>
      <c r="F367">
        <v>175.2</v>
      </c>
      <c r="G367">
        <v>177.3</v>
      </c>
      <c r="H367">
        <v>169.5</v>
      </c>
      <c r="I367">
        <v>152.69999999999999</v>
      </c>
      <c r="J367">
        <v>171</v>
      </c>
      <c r="K367">
        <v>120</v>
      </c>
      <c r="L367">
        <v>209.7</v>
      </c>
      <c r="M367">
        <v>172.3</v>
      </c>
      <c r="N367">
        <v>193</v>
      </c>
      <c r="O367">
        <v>177</v>
      </c>
      <c r="P367">
        <v>179.3</v>
      </c>
      <c r="Q367">
        <v>186.2</v>
      </c>
      <c r="R367">
        <v>178.7</v>
      </c>
      <c r="S367">
        <v>185.1</v>
      </c>
      <c r="T367">
        <v>174.2</v>
      </c>
      <c r="U367">
        <v>173.5</v>
      </c>
      <c r="V367">
        <v>182.1</v>
      </c>
      <c r="W367">
        <v>164.2</v>
      </c>
      <c r="X367">
        <v>170.3</v>
      </c>
      <c r="Y367">
        <v>181</v>
      </c>
      <c r="Z367">
        <v>184.4</v>
      </c>
      <c r="AA367">
        <v>175</v>
      </c>
      <c r="AB367">
        <v>199.5</v>
      </c>
      <c r="AC367">
        <v>174.1</v>
      </c>
      <c r="AD367">
        <v>177.2</v>
      </c>
    </row>
    <row r="368" spans="1:30" x14ac:dyDescent="0.35">
      <c r="A368" t="s">
        <v>30</v>
      </c>
      <c r="B368">
        <v>2023</v>
      </c>
      <c r="C368" t="s">
        <v>35</v>
      </c>
      <c r="D368">
        <v>174.3</v>
      </c>
      <c r="E368">
        <v>205.2</v>
      </c>
      <c r="F368">
        <v>173.9</v>
      </c>
      <c r="G368">
        <v>177</v>
      </c>
      <c r="H368">
        <v>167.2</v>
      </c>
      <c r="I368">
        <v>140.9</v>
      </c>
      <c r="J368">
        <v>170.5</v>
      </c>
      <c r="K368">
        <v>119.1</v>
      </c>
      <c r="L368">
        <v>212.1</v>
      </c>
      <c r="M368">
        <v>177.6</v>
      </c>
      <c r="N368">
        <v>189.9</v>
      </c>
      <c r="O368">
        <v>174.8</v>
      </c>
      <c r="P368">
        <v>183.3</v>
      </c>
      <c r="Q368">
        <v>190</v>
      </c>
      <c r="R368">
        <v>187</v>
      </c>
      <c r="S368">
        <v>189.6</v>
      </c>
      <c r="T368">
        <v>178.6</v>
      </c>
      <c r="U368">
        <v>139.2551</v>
      </c>
      <c r="V368">
        <v>181.4</v>
      </c>
      <c r="W368">
        <v>169</v>
      </c>
      <c r="X368">
        <v>172.8</v>
      </c>
      <c r="Y368">
        <v>180.7</v>
      </c>
      <c r="Z368">
        <v>186.6</v>
      </c>
      <c r="AA368">
        <v>178.5</v>
      </c>
      <c r="AB368">
        <v>198.4</v>
      </c>
      <c r="AC368">
        <v>177.9</v>
      </c>
      <c r="AD368">
        <v>178</v>
      </c>
    </row>
    <row r="369" spans="1:30" x14ac:dyDescent="0.35">
      <c r="A369" t="s">
        <v>32</v>
      </c>
      <c r="B369">
        <v>2023</v>
      </c>
      <c r="C369" t="s">
        <v>35</v>
      </c>
      <c r="D369">
        <v>174.7</v>
      </c>
      <c r="E369">
        <v>212.2</v>
      </c>
      <c r="F369">
        <v>177.2</v>
      </c>
      <c r="G369">
        <v>177.9</v>
      </c>
      <c r="H369">
        <v>172.1</v>
      </c>
      <c r="I369">
        <v>175.9</v>
      </c>
      <c r="J369">
        <v>172.2</v>
      </c>
      <c r="K369">
        <v>121.9</v>
      </c>
      <c r="L369">
        <v>204.8</v>
      </c>
      <c r="M369">
        <v>164.9</v>
      </c>
      <c r="N369">
        <v>196.6</v>
      </c>
      <c r="O369">
        <v>180.8</v>
      </c>
      <c r="P369">
        <v>172.2</v>
      </c>
      <c r="Q369">
        <v>180.2</v>
      </c>
      <c r="R369">
        <v>167</v>
      </c>
      <c r="S369">
        <v>178.2</v>
      </c>
      <c r="T369">
        <v>169.2</v>
      </c>
      <c r="U369">
        <v>173.5</v>
      </c>
      <c r="V369">
        <v>182.6</v>
      </c>
      <c r="W369">
        <v>159.80000000000001</v>
      </c>
      <c r="X369">
        <v>168.4</v>
      </c>
      <c r="Y369">
        <v>181.5</v>
      </c>
      <c r="Z369">
        <v>180.8</v>
      </c>
      <c r="AA369">
        <v>172.5</v>
      </c>
      <c r="AB369">
        <v>202.7</v>
      </c>
      <c r="AC369">
        <v>170</v>
      </c>
      <c r="AD369">
        <v>176.3</v>
      </c>
    </row>
    <row r="370" spans="1:30" x14ac:dyDescent="0.35">
      <c r="A370" t="s">
        <v>33</v>
      </c>
      <c r="B370">
        <v>2023</v>
      </c>
      <c r="C370" t="s">
        <v>35</v>
      </c>
      <c r="D370">
        <v>174.4</v>
      </c>
      <c r="E370">
        <v>207.7</v>
      </c>
      <c r="F370">
        <v>175.2</v>
      </c>
      <c r="G370">
        <v>177.3</v>
      </c>
      <c r="H370">
        <v>169.5</v>
      </c>
      <c r="I370">
        <v>152.80000000000001</v>
      </c>
      <c r="J370">
        <v>171.1</v>
      </c>
      <c r="K370">
        <v>120</v>
      </c>
      <c r="L370">
        <v>209.7</v>
      </c>
      <c r="M370">
        <v>172.3</v>
      </c>
      <c r="N370">
        <v>193</v>
      </c>
      <c r="O370">
        <v>177</v>
      </c>
      <c r="P370">
        <v>179.2</v>
      </c>
      <c r="Q370">
        <v>186.1</v>
      </c>
      <c r="R370">
        <v>178.7</v>
      </c>
      <c r="S370">
        <v>185.1</v>
      </c>
      <c r="T370">
        <v>174.2</v>
      </c>
      <c r="U370">
        <v>173.5</v>
      </c>
      <c r="V370">
        <v>181.9</v>
      </c>
      <c r="W370">
        <v>164.2</v>
      </c>
      <c r="X370">
        <v>170.3</v>
      </c>
      <c r="Y370">
        <v>181</v>
      </c>
      <c r="Z370">
        <v>184.4</v>
      </c>
      <c r="AA370">
        <v>175</v>
      </c>
      <c r="AB370">
        <v>199.5</v>
      </c>
      <c r="AC370">
        <v>174.1</v>
      </c>
      <c r="AD370">
        <v>177.2</v>
      </c>
    </row>
    <row r="371" spans="1:30" x14ac:dyDescent="0.35">
      <c r="A371" t="s">
        <v>30</v>
      </c>
      <c r="B371">
        <v>2023</v>
      </c>
      <c r="C371" t="s">
        <v>36</v>
      </c>
      <c r="D371">
        <v>173.3</v>
      </c>
      <c r="E371">
        <v>206.9</v>
      </c>
      <c r="F371">
        <v>167.9</v>
      </c>
      <c r="G371">
        <v>178.2</v>
      </c>
      <c r="H371">
        <v>173.7</v>
      </c>
      <c r="I371">
        <v>142.80000000000001</v>
      </c>
      <c r="J371">
        <v>172.8</v>
      </c>
      <c r="K371">
        <v>120.4</v>
      </c>
      <c r="L371">
        <v>215.5</v>
      </c>
      <c r="M371">
        <v>178.2</v>
      </c>
      <c r="N371">
        <v>190.5</v>
      </c>
      <c r="O371">
        <v>175.5</v>
      </c>
      <c r="P371">
        <v>178.5</v>
      </c>
      <c r="Q371">
        <v>190.7</v>
      </c>
      <c r="R371">
        <v>187.3</v>
      </c>
      <c r="S371">
        <v>190.2</v>
      </c>
      <c r="T371">
        <v>179.1</v>
      </c>
      <c r="U371">
        <v>139.2551</v>
      </c>
      <c r="V371">
        <v>181.5</v>
      </c>
      <c r="W371">
        <v>169.4</v>
      </c>
      <c r="X371">
        <v>173.2</v>
      </c>
      <c r="Y371">
        <v>183.8</v>
      </c>
      <c r="Z371">
        <v>187.2</v>
      </c>
      <c r="AA371">
        <v>179.4</v>
      </c>
      <c r="AB371">
        <v>199.5</v>
      </c>
      <c r="AC371">
        <v>178.9</v>
      </c>
      <c r="AD371">
        <v>178.8</v>
      </c>
    </row>
    <row r="372" spans="1:30" x14ac:dyDescent="0.35">
      <c r="A372" t="s">
        <v>32</v>
      </c>
      <c r="B372">
        <v>2023</v>
      </c>
      <c r="C372" t="s">
        <v>36</v>
      </c>
      <c r="D372">
        <v>174.8</v>
      </c>
      <c r="E372">
        <v>213.7</v>
      </c>
      <c r="F372">
        <v>172.4</v>
      </c>
      <c r="G372">
        <v>178.8</v>
      </c>
      <c r="H372">
        <v>179.2</v>
      </c>
      <c r="I372">
        <v>179.9</v>
      </c>
      <c r="J372">
        <v>174.7</v>
      </c>
      <c r="K372">
        <v>123.1</v>
      </c>
      <c r="L372">
        <v>207.8</v>
      </c>
      <c r="M372">
        <v>165.5</v>
      </c>
      <c r="N372">
        <v>197</v>
      </c>
      <c r="O372">
        <v>182.1</v>
      </c>
      <c r="P372">
        <v>168.7</v>
      </c>
      <c r="Q372">
        <v>181</v>
      </c>
      <c r="R372">
        <v>167.7</v>
      </c>
      <c r="S372">
        <v>178.9</v>
      </c>
      <c r="T372">
        <v>169.6</v>
      </c>
      <c r="U372">
        <v>175.2</v>
      </c>
      <c r="V372">
        <v>182.1</v>
      </c>
      <c r="W372">
        <v>160.1</v>
      </c>
      <c r="X372">
        <v>168.8</v>
      </c>
      <c r="Y372">
        <v>184.4</v>
      </c>
      <c r="Z372">
        <v>181.5</v>
      </c>
      <c r="AA372">
        <v>174.2</v>
      </c>
      <c r="AB372">
        <v>203.5</v>
      </c>
      <c r="AC372">
        <v>170.9</v>
      </c>
      <c r="AD372">
        <v>177.4</v>
      </c>
    </row>
    <row r="373" spans="1:30" x14ac:dyDescent="0.35">
      <c r="A373" t="s">
        <v>33</v>
      </c>
      <c r="B373">
        <v>2023</v>
      </c>
      <c r="C373" t="s">
        <v>36</v>
      </c>
      <c r="D373">
        <v>173.8</v>
      </c>
      <c r="E373">
        <v>209.3</v>
      </c>
      <c r="F373">
        <v>169.6</v>
      </c>
      <c r="G373">
        <v>178.4</v>
      </c>
      <c r="H373">
        <v>176.3</v>
      </c>
      <c r="I373">
        <v>155.4</v>
      </c>
      <c r="J373">
        <v>173.4</v>
      </c>
      <c r="K373">
        <v>121.3</v>
      </c>
      <c r="L373">
        <v>212.9</v>
      </c>
      <c r="M373">
        <v>172.9</v>
      </c>
      <c r="N373">
        <v>193.5</v>
      </c>
      <c r="O373">
        <v>177.9</v>
      </c>
      <c r="P373">
        <v>174.9</v>
      </c>
      <c r="Q373">
        <v>186.9</v>
      </c>
      <c r="R373">
        <v>179.2</v>
      </c>
      <c r="S373">
        <v>185.7</v>
      </c>
      <c r="T373">
        <v>174.6</v>
      </c>
      <c r="U373">
        <v>175.2</v>
      </c>
      <c r="V373">
        <v>181.7</v>
      </c>
      <c r="W373">
        <v>164.5</v>
      </c>
      <c r="X373">
        <v>170.7</v>
      </c>
      <c r="Y373">
        <v>184</v>
      </c>
      <c r="Z373">
        <v>185</v>
      </c>
      <c r="AA373">
        <v>176.4</v>
      </c>
      <c r="AB373">
        <v>200.6</v>
      </c>
      <c r="AC373">
        <v>175</v>
      </c>
      <c r="AD373">
        <v>178.1</v>
      </c>
    </row>
    <row r="374" spans="1:30" x14ac:dyDescent="0.35">
      <c r="A374" t="s">
        <v>30</v>
      </c>
      <c r="B374">
        <v>2023</v>
      </c>
      <c r="C374" t="s">
        <v>37</v>
      </c>
      <c r="D374">
        <v>173.2</v>
      </c>
      <c r="E374">
        <v>211.5</v>
      </c>
      <c r="F374">
        <v>171</v>
      </c>
      <c r="G374">
        <v>179.6</v>
      </c>
      <c r="H374">
        <v>169</v>
      </c>
      <c r="I374">
        <v>148.69999999999999</v>
      </c>
      <c r="J374">
        <v>174.9</v>
      </c>
      <c r="K374">
        <v>121.9</v>
      </c>
      <c r="L374">
        <v>221</v>
      </c>
      <c r="M374">
        <v>178.7</v>
      </c>
      <c r="N374">
        <v>191.1</v>
      </c>
      <c r="O374">
        <v>176.8</v>
      </c>
      <c r="P374">
        <v>173.3</v>
      </c>
      <c r="Q374">
        <v>191.2</v>
      </c>
      <c r="R374">
        <v>187.9</v>
      </c>
      <c r="S374">
        <v>190.8</v>
      </c>
      <c r="T374">
        <v>179.8</v>
      </c>
      <c r="U374">
        <v>139.2551</v>
      </c>
      <c r="V374">
        <v>182.5</v>
      </c>
      <c r="W374">
        <v>169.7</v>
      </c>
      <c r="X374">
        <v>173.8</v>
      </c>
      <c r="Y374">
        <v>184.9</v>
      </c>
      <c r="Z374">
        <v>187.8</v>
      </c>
      <c r="AA374">
        <v>180.3</v>
      </c>
      <c r="AB374">
        <v>199.9</v>
      </c>
      <c r="AC374">
        <v>179.5</v>
      </c>
      <c r="AD374">
        <v>179.8</v>
      </c>
    </row>
    <row r="375" spans="1:30" x14ac:dyDescent="0.35">
      <c r="A375" t="s">
        <v>32</v>
      </c>
      <c r="B375">
        <v>2023</v>
      </c>
      <c r="C375" t="s">
        <v>37</v>
      </c>
      <c r="D375">
        <v>174.7</v>
      </c>
      <c r="E375">
        <v>219.4</v>
      </c>
      <c r="F375">
        <v>176.7</v>
      </c>
      <c r="G375">
        <v>179.4</v>
      </c>
      <c r="H375">
        <v>175.8</v>
      </c>
      <c r="I375">
        <v>185</v>
      </c>
      <c r="J375">
        <v>176.9</v>
      </c>
      <c r="K375">
        <v>124.2</v>
      </c>
      <c r="L375">
        <v>211.9</v>
      </c>
      <c r="M375">
        <v>165.9</v>
      </c>
      <c r="N375">
        <v>197.7</v>
      </c>
      <c r="O375">
        <v>183.1</v>
      </c>
      <c r="P375">
        <v>164.4</v>
      </c>
      <c r="Q375">
        <v>181.3</v>
      </c>
      <c r="R375">
        <v>168.1</v>
      </c>
      <c r="S375">
        <v>179.3</v>
      </c>
      <c r="T375">
        <v>170.1</v>
      </c>
      <c r="U375">
        <v>175.6</v>
      </c>
      <c r="V375">
        <v>183.4</v>
      </c>
      <c r="W375">
        <v>160.4</v>
      </c>
      <c r="X375">
        <v>169.2</v>
      </c>
      <c r="Y375">
        <v>185.6</v>
      </c>
      <c r="Z375">
        <v>182.2</v>
      </c>
      <c r="AA375">
        <v>174.8</v>
      </c>
      <c r="AB375">
        <v>204.2</v>
      </c>
      <c r="AC375">
        <v>171.6</v>
      </c>
      <c r="AD375">
        <v>178.2</v>
      </c>
    </row>
    <row r="376" spans="1:30" x14ac:dyDescent="0.35">
      <c r="A376" t="s">
        <v>33</v>
      </c>
      <c r="B376">
        <v>2023</v>
      </c>
      <c r="C376" t="s">
        <v>37</v>
      </c>
      <c r="D376">
        <v>173.7</v>
      </c>
      <c r="E376">
        <v>214.3</v>
      </c>
      <c r="F376">
        <v>173.2</v>
      </c>
      <c r="G376">
        <v>179.5</v>
      </c>
      <c r="H376">
        <v>172.2</v>
      </c>
      <c r="I376">
        <v>161</v>
      </c>
      <c r="J376">
        <v>175.6</v>
      </c>
      <c r="K376">
        <v>122.7</v>
      </c>
      <c r="L376">
        <v>218</v>
      </c>
      <c r="M376">
        <v>173.4</v>
      </c>
      <c r="N376">
        <v>194.2</v>
      </c>
      <c r="O376">
        <v>179.1</v>
      </c>
      <c r="P376">
        <v>170</v>
      </c>
      <c r="Q376">
        <v>187.3</v>
      </c>
      <c r="R376">
        <v>179.7</v>
      </c>
      <c r="S376">
        <v>186.2</v>
      </c>
      <c r="T376">
        <v>175.2</v>
      </c>
      <c r="U376">
        <v>175.6</v>
      </c>
      <c r="V376">
        <v>182.8</v>
      </c>
      <c r="W376">
        <v>164.8</v>
      </c>
      <c r="X376">
        <v>171.2</v>
      </c>
      <c r="Y376">
        <v>185.2</v>
      </c>
      <c r="Z376">
        <v>185.7</v>
      </c>
      <c r="AA376">
        <v>177.1</v>
      </c>
      <c r="AB376">
        <v>201</v>
      </c>
      <c r="AC376">
        <v>175.7</v>
      </c>
      <c r="AD376">
        <v>179.1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39D71-B5BE-4913-BE42-1E1AB31735B3}">
  <dimension ref="A1:P36"/>
  <sheetViews>
    <sheetView tabSelected="1" zoomScale="46" zoomScaleNormal="55" workbookViewId="0">
      <selection activeCell="L40" sqref="L40"/>
    </sheetView>
  </sheetViews>
  <sheetFormatPr defaultRowHeight="14.5" x14ac:dyDescent="0.35"/>
  <cols>
    <col min="1" max="1" width="22.90625" customWidth="1"/>
    <col min="2" max="2" width="17.6328125" bestFit="1" customWidth="1"/>
    <col min="3" max="3" width="13.26953125" customWidth="1"/>
    <col min="4" max="4" width="15.08984375" customWidth="1"/>
    <col min="6" max="6" width="23.08984375" bestFit="1" customWidth="1"/>
    <col min="7" max="7" width="16.6328125" bestFit="1" customWidth="1"/>
    <col min="8" max="8" width="34.54296875" bestFit="1" customWidth="1"/>
    <col min="10" max="10" width="22.7265625" bestFit="1" customWidth="1"/>
    <col min="11" max="11" width="17.453125" bestFit="1" customWidth="1"/>
    <col min="12" max="12" width="33.1796875" bestFit="1" customWidth="1"/>
    <col min="14" max="14" width="23.08984375" bestFit="1" customWidth="1"/>
    <col min="15" max="15" width="24.36328125" bestFit="1" customWidth="1"/>
    <col min="16" max="16" width="33.6328125" bestFit="1" customWidth="1"/>
  </cols>
  <sheetData>
    <row r="1" spans="1:16" x14ac:dyDescent="0.35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</row>
    <row r="2" spans="1:16" ht="26.5" customHeight="1" x14ac:dyDescent="0.3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</row>
    <row r="4" spans="1:16" ht="15.5" x14ac:dyDescent="0.35">
      <c r="A4" s="12" t="s">
        <v>47</v>
      </c>
      <c r="B4" s="12" t="s">
        <v>33</v>
      </c>
      <c r="C4" s="12" t="s">
        <v>48</v>
      </c>
      <c r="D4" s="12" t="s">
        <v>49</v>
      </c>
      <c r="F4" s="3" t="s">
        <v>47</v>
      </c>
      <c r="G4" t="s">
        <v>61</v>
      </c>
      <c r="H4" t="s">
        <v>67</v>
      </c>
      <c r="J4" s="3" t="s">
        <v>47</v>
      </c>
      <c r="K4" t="s">
        <v>62</v>
      </c>
      <c r="L4" t="s">
        <v>67</v>
      </c>
      <c r="N4" s="3" t="s">
        <v>47</v>
      </c>
      <c r="O4" t="s">
        <v>63</v>
      </c>
      <c r="P4" t="s">
        <v>68</v>
      </c>
    </row>
    <row r="5" spans="1:16" x14ac:dyDescent="0.35">
      <c r="A5" s="9" t="s">
        <v>50</v>
      </c>
      <c r="B5" s="10">
        <f>SUM('All_India_Index_Upto_April23 (1'!Q376:S376)</f>
        <v>553.20000000000005</v>
      </c>
      <c r="C5" s="10">
        <f>SUM('All_India_Index_Upto_April23 (1'!T374:V374)</f>
        <v>501.55510000000004</v>
      </c>
      <c r="D5" s="10">
        <f>SUM('All_India_Index_Upto_April23 (1'!T375:V375)</f>
        <v>529.1</v>
      </c>
      <c r="F5" s="1" t="s">
        <v>50</v>
      </c>
      <c r="G5">
        <v>501.55510000000004</v>
      </c>
      <c r="H5" s="4">
        <v>0.10383830117587736</v>
      </c>
      <c r="J5" s="1" t="s">
        <v>50</v>
      </c>
      <c r="K5">
        <v>529.1</v>
      </c>
      <c r="L5" s="4">
        <v>0.11001143570017674</v>
      </c>
      <c r="N5" s="1" t="s">
        <v>50</v>
      </c>
      <c r="O5">
        <v>553.20000000000005</v>
      </c>
      <c r="P5" s="4">
        <v>0.11862335155998711</v>
      </c>
    </row>
    <row r="6" spans="1:16" x14ac:dyDescent="0.35">
      <c r="A6" s="9" t="s">
        <v>51</v>
      </c>
      <c r="B6" s="10">
        <v>177.1</v>
      </c>
      <c r="C6" s="10">
        <v>180.3</v>
      </c>
      <c r="D6" s="10">
        <v>174.8</v>
      </c>
      <c r="F6" s="1" t="s">
        <v>51</v>
      </c>
      <c r="G6">
        <v>180.3</v>
      </c>
      <c r="H6" s="4">
        <v>3.7327993877463689E-2</v>
      </c>
      <c r="J6" s="1" t="s">
        <v>51</v>
      </c>
      <c r="K6">
        <v>174.8</v>
      </c>
      <c r="L6" s="4">
        <v>3.6344734379873171E-2</v>
      </c>
      <c r="N6" s="1" t="s">
        <v>51</v>
      </c>
      <c r="O6">
        <v>177.1</v>
      </c>
      <c r="P6" s="4">
        <v>3.7975769272005994E-2</v>
      </c>
    </row>
    <row r="7" spans="1:16" x14ac:dyDescent="0.35">
      <c r="A7" s="9" t="s">
        <v>52</v>
      </c>
      <c r="B7" s="10">
        <f>SUM('All_India_Index_Upto_April23 (1'!D376:O376)</f>
        <v>2136.9</v>
      </c>
      <c r="C7" s="10">
        <f>SUM('All_India_Index_Upto_April23 (1'!G374:S374)</f>
        <v>2304.9</v>
      </c>
      <c r="D7" s="10">
        <f>SUM('All_India_Index_Upto_April23 (1'!G375:S375)</f>
        <v>2293.0000000000005</v>
      </c>
      <c r="F7" s="1" t="s">
        <v>52</v>
      </c>
      <c r="G7">
        <v>2304.9</v>
      </c>
      <c r="H7" s="4">
        <v>0.47718964552504745</v>
      </c>
      <c r="J7" s="1" t="s">
        <v>52</v>
      </c>
      <c r="K7">
        <v>2293.0000000000005</v>
      </c>
      <c r="L7" s="4">
        <v>0.47676473645909145</v>
      </c>
      <c r="N7" s="1" t="s">
        <v>52</v>
      </c>
      <c r="O7">
        <v>2136.9</v>
      </c>
      <c r="P7" s="4">
        <v>0.45821807655194591</v>
      </c>
    </row>
    <row r="8" spans="1:16" x14ac:dyDescent="0.35">
      <c r="A8" s="9" t="s">
        <v>54</v>
      </c>
      <c r="B8" s="10">
        <v>185.7</v>
      </c>
      <c r="C8" s="10">
        <v>187.8</v>
      </c>
      <c r="D8" s="10">
        <v>182.2</v>
      </c>
      <c r="F8" s="1" t="s">
        <v>53</v>
      </c>
      <c r="G8">
        <v>179.8</v>
      </c>
      <c r="H8" s="4">
        <v>3.7224477532822917E-2</v>
      </c>
      <c r="J8" s="1" t="s">
        <v>53</v>
      </c>
      <c r="K8">
        <v>178.2</v>
      </c>
      <c r="L8" s="4">
        <v>3.7051668572616693E-2</v>
      </c>
      <c r="N8" s="1" t="s">
        <v>53</v>
      </c>
      <c r="O8">
        <v>179.1</v>
      </c>
      <c r="P8" s="4">
        <v>3.8404631714377607E-2</v>
      </c>
    </row>
    <row r="9" spans="1:16" x14ac:dyDescent="0.35">
      <c r="A9" s="9" t="s">
        <v>55</v>
      </c>
      <c r="B9" s="10">
        <f>SUM('All_India_Index_Upto_April23 (1'!T376:U376)</f>
        <v>350.79999999999995</v>
      </c>
      <c r="C9" s="11">
        <f>SUM('All_India_Index_Upto_April23 (1'!W374:W374)</f>
        <v>169.7</v>
      </c>
      <c r="D9" s="10">
        <f>SUM('All_India_Index_Upto_April23 (1'!W375:W375)</f>
        <v>160.4</v>
      </c>
      <c r="F9" s="1" t="s">
        <v>54</v>
      </c>
      <c r="G9">
        <v>187.8</v>
      </c>
      <c r="H9" s="4">
        <v>3.888073904707532E-2</v>
      </c>
      <c r="J9" s="1" t="s">
        <v>54</v>
      </c>
      <c r="K9">
        <v>182.2</v>
      </c>
      <c r="L9" s="4">
        <v>3.7883355858197312E-2</v>
      </c>
      <c r="N9" s="1" t="s">
        <v>54</v>
      </c>
      <c r="O9">
        <v>185.7</v>
      </c>
      <c r="P9" s="4">
        <v>3.9819877774203913E-2</v>
      </c>
    </row>
    <row r="10" spans="1:16" x14ac:dyDescent="0.35">
      <c r="A10" s="9" t="s">
        <v>56</v>
      </c>
      <c r="B10" s="10">
        <f>SUM('All_India_Index_Upto_April23 (1'!X376:Y376)</f>
        <v>356.4</v>
      </c>
      <c r="C10" s="10">
        <f>SUM('All_India_Index_Upto_April23 (1'!AA374:AB374)</f>
        <v>380.20000000000005</v>
      </c>
      <c r="D10" s="10">
        <f>SUM('All_India_Index_Upto_April23 (1'!AA375:AB375)</f>
        <v>379</v>
      </c>
      <c r="F10" s="1" t="s">
        <v>55</v>
      </c>
      <c r="G10">
        <v>169.7</v>
      </c>
      <c r="H10" s="4">
        <v>3.5133447371079242E-2</v>
      </c>
      <c r="J10" s="1" t="s">
        <v>55</v>
      </c>
      <c r="K10">
        <v>160.4</v>
      </c>
      <c r="L10" s="4">
        <v>3.3350660151782931E-2</v>
      </c>
      <c r="N10" s="1" t="s">
        <v>55</v>
      </c>
      <c r="O10">
        <v>350.79999999999995</v>
      </c>
      <c r="P10" s="4">
        <v>7.5222472391980252E-2</v>
      </c>
    </row>
    <row r="11" spans="1:16" x14ac:dyDescent="0.35">
      <c r="A11" s="10" t="s">
        <v>59</v>
      </c>
      <c r="B11" s="10">
        <v>201</v>
      </c>
      <c r="C11" s="10">
        <v>199.9</v>
      </c>
      <c r="D11" s="10">
        <v>204.2</v>
      </c>
      <c r="F11" s="1" t="s">
        <v>56</v>
      </c>
      <c r="G11">
        <v>380.20000000000005</v>
      </c>
      <c r="H11" s="4">
        <v>7.8713828464845786E-2</v>
      </c>
      <c r="J11" s="1" t="s">
        <v>56</v>
      </c>
      <c r="K11">
        <v>379</v>
      </c>
      <c r="L11" s="4">
        <v>7.88023703087639E-2</v>
      </c>
      <c r="N11" s="1" t="s">
        <v>56</v>
      </c>
      <c r="O11">
        <v>356.4</v>
      </c>
      <c r="P11" s="4">
        <v>7.6423287230620765E-2</v>
      </c>
    </row>
    <row r="12" spans="1:16" x14ac:dyDescent="0.35">
      <c r="A12" s="9" t="s">
        <v>58</v>
      </c>
      <c r="B12" s="10">
        <f>SUM('All_India_Index_Upto_April23 (1'!V376:W376)</f>
        <v>347.6</v>
      </c>
      <c r="C12" s="10">
        <f>SUM('All_India_Index_Upto_April23 (1'!X374:Z374)</f>
        <v>546.5</v>
      </c>
      <c r="D12" s="10">
        <f>SUM('All_India_Index_Upto_April23 (1'!X375:Z375)</f>
        <v>537</v>
      </c>
      <c r="F12" s="1" t="s">
        <v>57</v>
      </c>
      <c r="G12">
        <v>179.5</v>
      </c>
      <c r="H12" s="4">
        <v>3.7162367726038446E-2</v>
      </c>
      <c r="J12" s="1" t="s">
        <v>57</v>
      </c>
      <c r="K12">
        <v>171.6</v>
      </c>
      <c r="L12" s="4">
        <v>3.567938455140867E-2</v>
      </c>
      <c r="N12" s="1" t="s">
        <v>57</v>
      </c>
      <c r="O12">
        <v>175.7</v>
      </c>
      <c r="P12" s="4">
        <v>3.7675565562345865E-2</v>
      </c>
    </row>
    <row r="13" spans="1:16" x14ac:dyDescent="0.35">
      <c r="A13" s="9" t="s">
        <v>57</v>
      </c>
      <c r="B13" s="10">
        <v>175.7</v>
      </c>
      <c r="C13" s="10">
        <v>179.5</v>
      </c>
      <c r="D13" s="10">
        <v>171.6</v>
      </c>
      <c r="F13" s="1" t="s">
        <v>59</v>
      </c>
      <c r="G13">
        <v>199.9</v>
      </c>
      <c r="H13" s="4">
        <v>4.1385834587382091E-2</v>
      </c>
      <c r="J13" s="1" t="s">
        <v>59</v>
      </c>
      <c r="K13">
        <v>204.2</v>
      </c>
      <c r="L13" s="4">
        <v>4.2457635928890736E-2</v>
      </c>
      <c r="N13" s="1" t="s">
        <v>59</v>
      </c>
      <c r="O13">
        <v>201</v>
      </c>
      <c r="P13" s="4">
        <v>4.3100675458346727E-2</v>
      </c>
    </row>
    <row r="14" spans="1:16" x14ac:dyDescent="0.35">
      <c r="A14" s="9" t="s">
        <v>53</v>
      </c>
      <c r="B14" s="10">
        <v>179.1</v>
      </c>
      <c r="C14" s="10">
        <v>179.8</v>
      </c>
      <c r="D14" s="10">
        <v>178.2</v>
      </c>
      <c r="F14" s="1" t="s">
        <v>58</v>
      </c>
      <c r="G14">
        <v>546.5</v>
      </c>
      <c r="H14" s="4">
        <v>0.11314336469236774</v>
      </c>
      <c r="J14" s="1" t="s">
        <v>58</v>
      </c>
      <c r="K14">
        <v>537</v>
      </c>
      <c r="L14" s="4">
        <v>0.11165401808919846</v>
      </c>
      <c r="N14" s="1" t="s">
        <v>58</v>
      </c>
      <c r="O14">
        <v>347.6</v>
      </c>
      <c r="P14" s="4">
        <v>7.4536292484185682E-2</v>
      </c>
    </row>
    <row r="15" spans="1:16" x14ac:dyDescent="0.35">
      <c r="F15" s="1" t="s">
        <v>60</v>
      </c>
      <c r="G15">
        <v>4830.1550999999999</v>
      </c>
      <c r="H15" s="4">
        <v>1</v>
      </c>
      <c r="J15" s="1" t="s">
        <v>60</v>
      </c>
      <c r="K15">
        <v>4809.5</v>
      </c>
      <c r="L15" s="4">
        <v>1</v>
      </c>
      <c r="N15" s="1" t="s">
        <v>60</v>
      </c>
      <c r="O15">
        <v>4663.5000000000009</v>
      </c>
      <c r="P15" s="4">
        <v>1</v>
      </c>
    </row>
    <row r="16" spans="1:16" x14ac:dyDescent="0.35">
      <c r="A16" s="28"/>
      <c r="B16" s="28"/>
      <c r="C16" s="28"/>
      <c r="D16" s="28"/>
    </row>
    <row r="17" spans="1:4" x14ac:dyDescent="0.35">
      <c r="A17" s="28"/>
      <c r="B17" s="28"/>
      <c r="C17" s="28"/>
      <c r="D17" s="28"/>
    </row>
    <row r="18" spans="1:4" x14ac:dyDescent="0.35">
      <c r="A18" s="28"/>
      <c r="B18" s="28"/>
      <c r="C18" s="28"/>
      <c r="D18" s="28"/>
    </row>
    <row r="19" spans="1:4" x14ac:dyDescent="0.35">
      <c r="A19" s="28"/>
      <c r="B19" s="28"/>
      <c r="C19" s="28"/>
      <c r="D19" s="28"/>
    </row>
    <row r="20" spans="1:4" x14ac:dyDescent="0.35">
      <c r="A20" s="28"/>
      <c r="B20" s="28"/>
      <c r="C20" s="28"/>
      <c r="D20" s="28"/>
    </row>
    <row r="21" spans="1:4" x14ac:dyDescent="0.35">
      <c r="A21" s="28"/>
      <c r="B21" s="28"/>
      <c r="C21" s="28"/>
      <c r="D21" s="28"/>
    </row>
    <row r="22" spans="1:4" x14ac:dyDescent="0.35">
      <c r="A22" s="28"/>
      <c r="B22" s="28"/>
      <c r="C22" s="28"/>
      <c r="D22" s="28"/>
    </row>
    <row r="23" spans="1:4" x14ac:dyDescent="0.35">
      <c r="A23" s="28"/>
      <c r="B23" s="28"/>
      <c r="C23" s="28"/>
      <c r="D23" s="28"/>
    </row>
    <row r="24" spans="1:4" x14ac:dyDescent="0.35">
      <c r="A24" s="28"/>
      <c r="B24" s="28"/>
      <c r="C24" s="28"/>
      <c r="D24" s="28"/>
    </row>
    <row r="25" spans="1:4" x14ac:dyDescent="0.35">
      <c r="A25" s="28"/>
      <c r="B25" s="28"/>
      <c r="C25" s="28"/>
      <c r="D25" s="28"/>
    </row>
    <row r="26" spans="1:4" x14ac:dyDescent="0.35">
      <c r="A26" s="28"/>
      <c r="B26" s="28"/>
      <c r="C26" s="28"/>
      <c r="D26" s="28"/>
    </row>
    <row r="27" spans="1:4" x14ac:dyDescent="0.35">
      <c r="A27" s="28"/>
      <c r="B27" s="28"/>
      <c r="C27" s="28"/>
      <c r="D27" s="28"/>
    </row>
    <row r="28" spans="1:4" x14ac:dyDescent="0.35">
      <c r="A28" s="28"/>
      <c r="B28" s="28"/>
      <c r="C28" s="28"/>
      <c r="D28" s="28"/>
    </row>
    <row r="29" spans="1:4" x14ac:dyDescent="0.35">
      <c r="A29" s="28"/>
      <c r="B29" s="28"/>
      <c r="C29" s="28"/>
      <c r="D29" s="28"/>
    </row>
    <row r="30" spans="1:4" x14ac:dyDescent="0.35">
      <c r="A30" s="28"/>
      <c r="B30" s="28"/>
      <c r="C30" s="28"/>
      <c r="D30" s="28"/>
    </row>
    <row r="31" spans="1:4" x14ac:dyDescent="0.35">
      <c r="A31" s="28"/>
      <c r="B31" s="28"/>
      <c r="C31" s="28"/>
      <c r="D31" s="28"/>
    </row>
    <row r="32" spans="1:4" x14ac:dyDescent="0.35">
      <c r="A32" s="28"/>
      <c r="B32" s="28"/>
      <c r="C32" s="28"/>
      <c r="D32" s="28"/>
    </row>
    <row r="33" spans="1:4" x14ac:dyDescent="0.35">
      <c r="A33" s="28"/>
      <c r="B33" s="28"/>
      <c r="C33" s="28"/>
      <c r="D33" s="28"/>
    </row>
    <row r="34" spans="1:4" x14ac:dyDescent="0.35">
      <c r="A34" s="28"/>
      <c r="B34" s="28"/>
      <c r="C34" s="28"/>
      <c r="D34" s="28"/>
    </row>
    <row r="35" spans="1:4" x14ac:dyDescent="0.35">
      <c r="A35" s="28"/>
      <c r="B35" s="28"/>
      <c r="C35" s="28"/>
      <c r="D35" s="28"/>
    </row>
    <row r="36" spans="1:4" x14ac:dyDescent="0.35">
      <c r="A36" s="28"/>
      <c r="B36" s="28"/>
      <c r="C36" s="28"/>
      <c r="D36" s="28"/>
    </row>
  </sheetData>
  <mergeCells count="2">
    <mergeCell ref="A1:P2"/>
    <mergeCell ref="A16:D36"/>
  </mergeCell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43D0-A779-402E-A869-4D1A969F2B6E}">
  <dimension ref="A1:U79"/>
  <sheetViews>
    <sheetView zoomScale="50" zoomScaleNormal="50" workbookViewId="0">
      <selection activeCell="W26" sqref="W26"/>
    </sheetView>
  </sheetViews>
  <sheetFormatPr defaultRowHeight="14.5" x14ac:dyDescent="0.35"/>
  <cols>
    <col min="1" max="1" width="15.90625" customWidth="1"/>
    <col min="2" max="3" width="10.90625" customWidth="1"/>
    <col min="4" max="4" width="13.26953125" customWidth="1"/>
    <col min="7" max="7" width="10.81640625" bestFit="1" customWidth="1"/>
    <col min="8" max="8" width="19.36328125" customWidth="1"/>
    <col min="9" max="9" width="15.90625" customWidth="1"/>
    <col min="10" max="10" width="22.7265625" customWidth="1"/>
  </cols>
  <sheetData>
    <row r="1" spans="1:21" x14ac:dyDescent="0.35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ht="30.5" customHeight="1" x14ac:dyDescent="0.3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</row>
    <row r="4" spans="1:21" s="6" customFormat="1" x14ac:dyDescent="0.35">
      <c r="A4" s="13" t="s">
        <v>0</v>
      </c>
      <c r="B4" s="13" t="s">
        <v>1</v>
      </c>
      <c r="C4" s="13" t="s">
        <v>2</v>
      </c>
      <c r="D4" s="13" t="s">
        <v>29</v>
      </c>
    </row>
    <row r="5" spans="1:21" x14ac:dyDescent="0.35">
      <c r="A5" s="10" t="s">
        <v>33</v>
      </c>
      <c r="B5" s="10">
        <v>2017</v>
      </c>
      <c r="C5" s="10" t="s">
        <v>31</v>
      </c>
      <c r="D5" s="10">
        <v>130.30000000000001</v>
      </c>
      <c r="G5" s="3" t="s">
        <v>1</v>
      </c>
      <c r="H5" s="3" t="s">
        <v>2</v>
      </c>
      <c r="I5" t="s">
        <v>65</v>
      </c>
      <c r="J5" t="s">
        <v>66</v>
      </c>
    </row>
    <row r="6" spans="1:21" x14ac:dyDescent="0.35">
      <c r="A6" s="10" t="s">
        <v>33</v>
      </c>
      <c r="B6" s="10">
        <v>2017</v>
      </c>
      <c r="C6" s="10" t="s">
        <v>34</v>
      </c>
      <c r="D6" s="10">
        <v>130.6</v>
      </c>
      <c r="G6">
        <v>2017</v>
      </c>
      <c r="H6" t="s">
        <v>31</v>
      </c>
      <c r="I6">
        <v>130.30000000000001</v>
      </c>
      <c r="J6" s="4"/>
    </row>
    <row r="7" spans="1:21" x14ac:dyDescent="0.35">
      <c r="A7" s="10" t="s">
        <v>33</v>
      </c>
      <c r="B7" s="10">
        <v>2017</v>
      </c>
      <c r="C7" s="10" t="s">
        <v>35</v>
      </c>
      <c r="D7" s="10">
        <v>130.9</v>
      </c>
      <c r="H7" t="s">
        <v>45</v>
      </c>
      <c r="I7">
        <v>137.19999999999999</v>
      </c>
      <c r="J7" s="8">
        <v>5.295471987720627E-2</v>
      </c>
    </row>
    <row r="8" spans="1:21" x14ac:dyDescent="0.35">
      <c r="A8" s="10" t="s">
        <v>33</v>
      </c>
      <c r="B8" s="10">
        <v>2017</v>
      </c>
      <c r="C8" s="10" t="s">
        <v>36</v>
      </c>
      <c r="D8" s="10">
        <v>131.1</v>
      </c>
      <c r="G8">
        <v>2018</v>
      </c>
      <c r="H8" t="s">
        <v>31</v>
      </c>
      <c r="I8">
        <v>136.9</v>
      </c>
      <c r="J8" s="8"/>
    </row>
    <row r="9" spans="1:21" x14ac:dyDescent="0.35">
      <c r="A9" s="10" t="s">
        <v>33</v>
      </c>
      <c r="B9" s="10">
        <v>2017</v>
      </c>
      <c r="C9" s="10" t="s">
        <v>37</v>
      </c>
      <c r="D9" s="10">
        <v>131.4</v>
      </c>
      <c r="H9" t="s">
        <v>45</v>
      </c>
      <c r="I9">
        <v>140.1</v>
      </c>
      <c r="J9" s="8">
        <v>2.3374726077428697E-2</v>
      </c>
    </row>
    <row r="10" spans="1:21" x14ac:dyDescent="0.35">
      <c r="A10" s="10" t="s">
        <v>33</v>
      </c>
      <c r="B10" s="10">
        <v>2017</v>
      </c>
      <c r="C10" s="10" t="s">
        <v>38</v>
      </c>
      <c r="D10" s="10">
        <v>132</v>
      </c>
      <c r="G10">
        <v>2019</v>
      </c>
      <c r="H10" t="s">
        <v>31</v>
      </c>
      <c r="I10">
        <v>139.6</v>
      </c>
      <c r="J10" s="8"/>
    </row>
    <row r="11" spans="1:21" x14ac:dyDescent="0.35">
      <c r="A11" s="10" t="s">
        <v>33</v>
      </c>
      <c r="B11" s="10">
        <v>2017</v>
      </c>
      <c r="C11" s="10" t="s">
        <v>39</v>
      </c>
      <c r="D11" s="10">
        <v>134.19999999999999</v>
      </c>
      <c r="H11" t="s">
        <v>45</v>
      </c>
      <c r="I11">
        <v>150.4</v>
      </c>
      <c r="J11" s="8">
        <v>7.7363896848137617E-2</v>
      </c>
    </row>
    <row r="12" spans="1:21" x14ac:dyDescent="0.35">
      <c r="A12" s="10" t="s">
        <v>33</v>
      </c>
      <c r="B12" s="10">
        <v>2017</v>
      </c>
      <c r="C12" s="10" t="s">
        <v>40</v>
      </c>
      <c r="D12" s="10">
        <v>135.4</v>
      </c>
      <c r="G12">
        <v>2020</v>
      </c>
      <c r="H12" t="s">
        <v>31</v>
      </c>
      <c r="I12">
        <v>150.19999999999999</v>
      </c>
      <c r="J12" s="8"/>
    </row>
    <row r="13" spans="1:21" x14ac:dyDescent="0.35">
      <c r="A13" s="10" t="s">
        <v>33</v>
      </c>
      <c r="B13" s="10">
        <v>2017</v>
      </c>
      <c r="C13" s="10" t="s">
        <v>41</v>
      </c>
      <c r="D13" s="10">
        <v>135.19999999999999</v>
      </c>
      <c r="H13" t="s">
        <v>45</v>
      </c>
      <c r="I13">
        <v>158.9</v>
      </c>
      <c r="J13" s="8">
        <v>5.7922769640479481E-2</v>
      </c>
    </row>
    <row r="14" spans="1:21" x14ac:dyDescent="0.35">
      <c r="A14" s="10" t="s">
        <v>33</v>
      </c>
      <c r="B14" s="10">
        <v>2017</v>
      </c>
      <c r="C14" s="10" t="s">
        <v>42</v>
      </c>
      <c r="D14" s="10">
        <v>136.1</v>
      </c>
      <c r="G14">
        <v>2021</v>
      </c>
      <c r="H14" t="s">
        <v>31</v>
      </c>
      <c r="I14">
        <v>157.30000000000001</v>
      </c>
      <c r="J14" s="8"/>
    </row>
    <row r="15" spans="1:21" x14ac:dyDescent="0.35">
      <c r="A15" s="10" t="s">
        <v>33</v>
      </c>
      <c r="B15" s="10">
        <v>2017</v>
      </c>
      <c r="C15" s="10" t="s">
        <v>44</v>
      </c>
      <c r="D15" s="10">
        <v>137.6</v>
      </c>
      <c r="H15" t="s">
        <v>45</v>
      </c>
      <c r="I15">
        <v>166.2</v>
      </c>
      <c r="J15" s="8">
        <v>5.657978385251098E-2</v>
      </c>
    </row>
    <row r="16" spans="1:21" x14ac:dyDescent="0.35">
      <c r="A16" s="10" t="s">
        <v>33</v>
      </c>
      <c r="B16" s="10">
        <v>2017</v>
      </c>
      <c r="C16" s="10" t="s">
        <v>45</v>
      </c>
      <c r="D16" s="10">
        <v>137.19999999999999</v>
      </c>
      <c r="G16">
        <v>2022</v>
      </c>
      <c r="H16" t="s">
        <v>31</v>
      </c>
      <c r="I16">
        <v>165.7</v>
      </c>
      <c r="J16" s="8"/>
    </row>
    <row r="17" spans="1:21" x14ac:dyDescent="0.35">
      <c r="A17" s="10" t="s">
        <v>33</v>
      </c>
      <c r="B17" s="10">
        <v>2018</v>
      </c>
      <c r="C17" s="10" t="s">
        <v>31</v>
      </c>
      <c r="D17" s="10">
        <v>136.9</v>
      </c>
      <c r="H17" t="s">
        <v>45</v>
      </c>
      <c r="I17">
        <v>175.7</v>
      </c>
      <c r="J17" s="8">
        <v>6.0350030175015092E-2</v>
      </c>
    </row>
    <row r="18" spans="1:21" x14ac:dyDescent="0.35">
      <c r="A18" s="10" t="s">
        <v>33</v>
      </c>
      <c r="B18" s="10">
        <v>2018</v>
      </c>
      <c r="C18" s="10" t="s">
        <v>34</v>
      </c>
      <c r="D18" s="10">
        <v>136.4</v>
      </c>
      <c r="G18">
        <v>2023</v>
      </c>
      <c r="H18" t="s">
        <v>31</v>
      </c>
      <c r="I18">
        <v>176.5</v>
      </c>
      <c r="J18" s="8"/>
    </row>
    <row r="19" spans="1:21" x14ac:dyDescent="0.35">
      <c r="A19" s="10" t="s">
        <v>33</v>
      </c>
      <c r="B19" s="10">
        <v>2018</v>
      </c>
      <c r="C19" s="10" t="s">
        <v>35</v>
      </c>
      <c r="D19" s="10">
        <v>136.5</v>
      </c>
      <c r="G19" t="s">
        <v>60</v>
      </c>
      <c r="I19">
        <v>1985.0000000000002</v>
      </c>
      <c r="J19" s="4"/>
    </row>
    <row r="20" spans="1:21" x14ac:dyDescent="0.35">
      <c r="A20" s="10" t="s">
        <v>33</v>
      </c>
      <c r="B20" s="10">
        <v>2018</v>
      </c>
      <c r="C20" s="10" t="s">
        <v>36</v>
      </c>
      <c r="D20" s="10">
        <v>137.1</v>
      </c>
    </row>
    <row r="21" spans="1:21" x14ac:dyDescent="0.35">
      <c r="A21" s="10" t="s">
        <v>33</v>
      </c>
      <c r="B21" s="10">
        <v>2018</v>
      </c>
      <c r="C21" s="10" t="s">
        <v>37</v>
      </c>
      <c r="D21" s="10">
        <v>137.80000000000001</v>
      </c>
    </row>
    <row r="22" spans="1:21" x14ac:dyDescent="0.35">
      <c r="A22" s="10" t="s">
        <v>33</v>
      </c>
      <c r="B22" s="10">
        <v>2018</v>
      </c>
      <c r="C22" s="10" t="s">
        <v>38</v>
      </c>
      <c r="D22" s="10">
        <v>138.5</v>
      </c>
      <c r="G22" s="5" t="s">
        <v>1</v>
      </c>
      <c r="H22" s="5" t="s">
        <v>64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</row>
    <row r="23" spans="1:21" x14ac:dyDescent="0.35">
      <c r="A23" s="10" t="s">
        <v>33</v>
      </c>
      <c r="B23" s="10">
        <v>2018</v>
      </c>
      <c r="C23" s="10" t="s">
        <v>39</v>
      </c>
      <c r="D23" s="10">
        <v>139.80000000000001</v>
      </c>
      <c r="G23" s="6">
        <v>2017</v>
      </c>
      <c r="H23" s="8">
        <v>5.295471987720627E-2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</row>
    <row r="24" spans="1:21" x14ac:dyDescent="0.35">
      <c r="A24" s="10" t="s">
        <v>33</v>
      </c>
      <c r="B24" s="10">
        <v>2018</v>
      </c>
      <c r="C24" s="10" t="s">
        <v>40</v>
      </c>
      <c r="D24" s="10">
        <v>140.4</v>
      </c>
      <c r="G24" s="6">
        <v>2018</v>
      </c>
      <c r="H24" s="8">
        <v>2.3374726077428697E-2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</row>
    <row r="25" spans="1:21" x14ac:dyDescent="0.35">
      <c r="A25" s="10" t="s">
        <v>33</v>
      </c>
      <c r="B25" s="10">
        <v>2018</v>
      </c>
      <c r="C25" s="10" t="s">
        <v>41</v>
      </c>
      <c r="D25" s="10">
        <v>140.19999999999999</v>
      </c>
      <c r="G25" s="6">
        <v>2019</v>
      </c>
      <c r="H25" s="8">
        <v>7.7363896848137617E-2</v>
      </c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</row>
    <row r="26" spans="1:21" x14ac:dyDescent="0.35">
      <c r="A26" s="10" t="s">
        <v>33</v>
      </c>
      <c r="B26" s="10">
        <v>2018</v>
      </c>
      <c r="C26" s="10" t="s">
        <v>42</v>
      </c>
      <c r="D26" s="10">
        <v>140.80000000000001</v>
      </c>
      <c r="G26" s="6">
        <v>2020</v>
      </c>
      <c r="H26" s="8">
        <v>5.7922769640479481E-2</v>
      </c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</row>
    <row r="27" spans="1:21" x14ac:dyDescent="0.35">
      <c r="A27" s="10" t="s">
        <v>33</v>
      </c>
      <c r="B27" s="10">
        <v>2018</v>
      </c>
      <c r="C27" s="10" t="s">
        <v>44</v>
      </c>
      <c r="D27" s="10">
        <v>140.80000000000001</v>
      </c>
      <c r="G27" s="6">
        <v>2021</v>
      </c>
      <c r="H27" s="8">
        <v>5.657978385251098E-2</v>
      </c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</row>
    <row r="28" spans="1:21" x14ac:dyDescent="0.35">
      <c r="A28" s="10" t="s">
        <v>33</v>
      </c>
      <c r="B28" s="10">
        <v>2018</v>
      </c>
      <c r="C28" s="10" t="s">
        <v>45</v>
      </c>
      <c r="D28" s="10">
        <v>140.1</v>
      </c>
      <c r="G28" s="6">
        <v>2022</v>
      </c>
      <c r="H28" s="8">
        <v>6.0350030175015092E-2</v>
      </c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</row>
    <row r="29" spans="1:21" x14ac:dyDescent="0.35">
      <c r="A29" s="10" t="s">
        <v>33</v>
      </c>
      <c r="B29" s="10">
        <v>2019</v>
      </c>
      <c r="C29" s="10" t="s">
        <v>31</v>
      </c>
      <c r="D29" s="10">
        <v>139.6</v>
      </c>
      <c r="G29" s="6"/>
      <c r="H29" s="8"/>
      <c r="J29" s="8"/>
    </row>
    <row r="30" spans="1:21" x14ac:dyDescent="0.35">
      <c r="A30" s="10" t="s">
        <v>33</v>
      </c>
      <c r="B30" s="10">
        <v>2019</v>
      </c>
      <c r="C30" s="10" t="s">
        <v>34</v>
      </c>
      <c r="D30" s="10">
        <v>139.9</v>
      </c>
      <c r="G30" s="7"/>
      <c r="H30" s="8"/>
      <c r="J30" s="8"/>
    </row>
    <row r="31" spans="1:21" x14ac:dyDescent="0.35">
      <c r="A31" s="10" t="s">
        <v>33</v>
      </c>
      <c r="B31" s="10">
        <v>2019</v>
      </c>
      <c r="C31" s="10" t="s">
        <v>35</v>
      </c>
      <c r="D31" s="10">
        <v>140.4</v>
      </c>
      <c r="G31" s="6"/>
      <c r="H31" s="8"/>
      <c r="J31" s="8"/>
    </row>
    <row r="32" spans="1:21" x14ac:dyDescent="0.35">
      <c r="A32" s="10" t="s">
        <v>33</v>
      </c>
      <c r="B32" s="10">
        <v>2019</v>
      </c>
      <c r="C32" s="10" t="s">
        <v>37</v>
      </c>
      <c r="D32" s="10">
        <v>142</v>
      </c>
      <c r="G32" s="7"/>
      <c r="H32" s="8"/>
      <c r="J32" s="8"/>
    </row>
    <row r="33" spans="1:10" x14ac:dyDescent="0.35">
      <c r="A33" s="10" t="s">
        <v>33</v>
      </c>
      <c r="B33" s="10">
        <v>2019</v>
      </c>
      <c r="C33" s="10" t="s">
        <v>38</v>
      </c>
      <c r="D33" s="10">
        <v>142.9</v>
      </c>
      <c r="G33" s="6"/>
      <c r="H33" s="8"/>
      <c r="J33" s="8"/>
    </row>
    <row r="34" spans="1:10" x14ac:dyDescent="0.35">
      <c r="A34" s="10" t="s">
        <v>33</v>
      </c>
      <c r="B34" s="10">
        <v>2019</v>
      </c>
      <c r="C34" s="10" t="s">
        <v>39</v>
      </c>
      <c r="D34" s="10">
        <v>144.19999999999999</v>
      </c>
      <c r="G34" s="7"/>
      <c r="H34" s="8"/>
      <c r="J34" s="8"/>
    </row>
    <row r="35" spans="1:10" x14ac:dyDescent="0.35">
      <c r="A35" s="10" t="s">
        <v>33</v>
      </c>
      <c r="B35" s="10">
        <v>2019</v>
      </c>
      <c r="C35" s="10" t="s">
        <v>40</v>
      </c>
      <c r="D35" s="10">
        <v>145</v>
      </c>
      <c r="G35" s="7"/>
      <c r="H35" s="8"/>
    </row>
    <row r="36" spans="1:10" x14ac:dyDescent="0.35">
      <c r="A36" s="10" t="s">
        <v>33</v>
      </c>
      <c r="B36" s="10">
        <v>2019</v>
      </c>
      <c r="C36" s="10" t="s">
        <v>41</v>
      </c>
      <c r="D36" s="10">
        <v>145.80000000000001</v>
      </c>
    </row>
    <row r="37" spans="1:10" x14ac:dyDescent="0.35">
      <c r="A37" s="10" t="s">
        <v>33</v>
      </c>
      <c r="B37" s="10">
        <v>2019</v>
      </c>
      <c r="C37" s="10" t="s">
        <v>42</v>
      </c>
      <c r="D37" s="10">
        <v>147.19999999999999</v>
      </c>
    </row>
    <row r="38" spans="1:10" x14ac:dyDescent="0.35">
      <c r="A38" s="10" t="s">
        <v>33</v>
      </c>
      <c r="B38" s="10">
        <v>2019</v>
      </c>
      <c r="C38" s="10" t="s">
        <v>44</v>
      </c>
      <c r="D38" s="10">
        <v>148.6</v>
      </c>
    </row>
    <row r="39" spans="1:10" x14ac:dyDescent="0.35">
      <c r="A39" s="10" t="s">
        <v>33</v>
      </c>
      <c r="B39" s="10">
        <v>2019</v>
      </c>
      <c r="C39" s="10" t="s">
        <v>45</v>
      </c>
      <c r="D39" s="10">
        <v>150.4</v>
      </c>
    </row>
    <row r="40" spans="1:10" x14ac:dyDescent="0.35">
      <c r="A40" s="10" t="s">
        <v>33</v>
      </c>
      <c r="B40" s="10">
        <v>2020</v>
      </c>
      <c r="C40" s="10" t="s">
        <v>31</v>
      </c>
      <c r="D40" s="10">
        <v>150.19999999999999</v>
      </c>
    </row>
    <row r="41" spans="1:10" x14ac:dyDescent="0.35">
      <c r="A41" s="10" t="s">
        <v>33</v>
      </c>
      <c r="B41" s="10">
        <v>2020</v>
      </c>
      <c r="C41" s="10" t="s">
        <v>34</v>
      </c>
      <c r="D41" s="10">
        <v>149.1</v>
      </c>
    </row>
    <row r="42" spans="1:10" x14ac:dyDescent="0.35">
      <c r="A42" s="10" t="s">
        <v>33</v>
      </c>
      <c r="B42" s="10">
        <v>2020</v>
      </c>
      <c r="C42" s="10" t="s">
        <v>35</v>
      </c>
      <c r="D42" s="10">
        <v>148.6</v>
      </c>
    </row>
    <row r="43" spans="1:10" x14ac:dyDescent="0.35">
      <c r="A43" s="10" t="s">
        <v>33</v>
      </c>
      <c r="B43" s="10">
        <v>2020</v>
      </c>
      <c r="C43" s="10" t="s">
        <v>36</v>
      </c>
      <c r="D43" s="10">
        <v>139.6</v>
      </c>
    </row>
    <row r="44" spans="1:10" x14ac:dyDescent="0.35">
      <c r="A44" s="10" t="s">
        <v>33</v>
      </c>
      <c r="B44" s="10">
        <v>2020</v>
      </c>
      <c r="C44" s="10" t="s">
        <v>38</v>
      </c>
      <c r="D44" s="10">
        <v>151.80000000000001</v>
      </c>
    </row>
    <row r="45" spans="1:10" x14ac:dyDescent="0.35">
      <c r="A45" s="10" t="s">
        <v>33</v>
      </c>
      <c r="B45" s="10">
        <v>2020</v>
      </c>
      <c r="C45" s="10" t="s">
        <v>39</v>
      </c>
      <c r="D45" s="10">
        <v>151.80000000000001</v>
      </c>
    </row>
    <row r="46" spans="1:10" x14ac:dyDescent="0.35">
      <c r="A46" s="10" t="s">
        <v>33</v>
      </c>
      <c r="B46" s="10">
        <v>2020</v>
      </c>
      <c r="C46" s="10" t="s">
        <v>40</v>
      </c>
      <c r="D46" s="10">
        <v>153.9</v>
      </c>
    </row>
    <row r="47" spans="1:10" x14ac:dyDescent="0.35">
      <c r="A47" s="10" t="s">
        <v>33</v>
      </c>
      <c r="B47" s="10">
        <v>2020</v>
      </c>
      <c r="C47" s="10" t="s">
        <v>41</v>
      </c>
      <c r="D47" s="10">
        <v>154.69999999999999</v>
      </c>
    </row>
    <row r="48" spans="1:10" x14ac:dyDescent="0.35">
      <c r="A48" s="10" t="s">
        <v>33</v>
      </c>
      <c r="B48" s="10">
        <v>2020</v>
      </c>
      <c r="C48" s="10" t="s">
        <v>42</v>
      </c>
      <c r="D48" s="10">
        <v>156.4</v>
      </c>
    </row>
    <row r="49" spans="1:4" x14ac:dyDescent="0.35">
      <c r="A49" s="10" t="s">
        <v>33</v>
      </c>
      <c r="B49" s="10">
        <v>2020</v>
      </c>
      <c r="C49" s="10" t="s">
        <v>44</v>
      </c>
      <c r="D49" s="10">
        <v>158.4</v>
      </c>
    </row>
    <row r="50" spans="1:4" x14ac:dyDescent="0.35">
      <c r="A50" s="10" t="s">
        <v>33</v>
      </c>
      <c r="B50" s="10">
        <v>2020</v>
      </c>
      <c r="C50" s="10" t="s">
        <v>45</v>
      </c>
      <c r="D50" s="10">
        <v>158.9</v>
      </c>
    </row>
    <row r="51" spans="1:4" x14ac:dyDescent="0.35">
      <c r="A51" s="10" t="s">
        <v>33</v>
      </c>
      <c r="B51" s="10">
        <v>2021</v>
      </c>
      <c r="C51" s="10" t="s">
        <v>31</v>
      </c>
      <c r="D51" s="10">
        <v>157.30000000000001</v>
      </c>
    </row>
    <row r="52" spans="1:4" x14ac:dyDescent="0.35">
      <c r="A52" s="10" t="s">
        <v>33</v>
      </c>
      <c r="B52" s="10">
        <v>2021</v>
      </c>
      <c r="C52" s="10" t="s">
        <v>34</v>
      </c>
      <c r="D52" s="10">
        <v>156.6</v>
      </c>
    </row>
    <row r="53" spans="1:4" x14ac:dyDescent="0.35">
      <c r="A53" s="10" t="s">
        <v>33</v>
      </c>
      <c r="B53" s="10">
        <v>2021</v>
      </c>
      <c r="C53" s="10" t="s">
        <v>35</v>
      </c>
      <c r="D53" s="10">
        <v>156.80000000000001</v>
      </c>
    </row>
    <row r="54" spans="1:4" x14ac:dyDescent="0.35">
      <c r="A54" s="10" t="s">
        <v>33</v>
      </c>
      <c r="B54" s="10">
        <v>2021</v>
      </c>
      <c r="C54" s="10" t="s">
        <v>36</v>
      </c>
      <c r="D54" s="10">
        <v>157.80000000000001</v>
      </c>
    </row>
    <row r="55" spans="1:4" x14ac:dyDescent="0.35">
      <c r="A55" s="10" t="s">
        <v>33</v>
      </c>
      <c r="B55" s="10">
        <v>2021</v>
      </c>
      <c r="C55" s="10" t="s">
        <v>37</v>
      </c>
      <c r="D55" s="10">
        <v>160.4</v>
      </c>
    </row>
    <row r="56" spans="1:4" x14ac:dyDescent="0.35">
      <c r="A56" s="10" t="s">
        <v>33</v>
      </c>
      <c r="B56" s="10">
        <v>2021</v>
      </c>
      <c r="C56" s="10" t="s">
        <v>38</v>
      </c>
      <c r="D56" s="10">
        <v>161.30000000000001</v>
      </c>
    </row>
    <row r="57" spans="1:4" x14ac:dyDescent="0.35">
      <c r="A57" s="10" t="s">
        <v>33</v>
      </c>
      <c r="B57" s="10">
        <v>2021</v>
      </c>
      <c r="C57" s="10" t="s">
        <v>39</v>
      </c>
      <c r="D57" s="10">
        <v>162.5</v>
      </c>
    </row>
    <row r="58" spans="1:4" x14ac:dyDescent="0.35">
      <c r="A58" s="10" t="s">
        <v>33</v>
      </c>
      <c r="B58" s="10">
        <v>2021</v>
      </c>
      <c r="C58" s="10" t="s">
        <v>40</v>
      </c>
      <c r="D58" s="10">
        <v>163.19999999999999</v>
      </c>
    </row>
    <row r="59" spans="1:4" x14ac:dyDescent="0.35">
      <c r="A59" s="10" t="s">
        <v>33</v>
      </c>
      <c r="B59" s="10">
        <v>2021</v>
      </c>
      <c r="C59" s="10" t="s">
        <v>41</v>
      </c>
      <c r="D59" s="10">
        <v>163.19999999999999</v>
      </c>
    </row>
    <row r="60" spans="1:4" x14ac:dyDescent="0.35">
      <c r="A60" s="10" t="s">
        <v>33</v>
      </c>
      <c r="B60" s="10">
        <v>2021</v>
      </c>
      <c r="C60" s="10" t="s">
        <v>42</v>
      </c>
      <c r="D60" s="10">
        <v>165.5</v>
      </c>
    </row>
    <row r="61" spans="1:4" x14ac:dyDescent="0.35">
      <c r="A61" s="10" t="s">
        <v>33</v>
      </c>
      <c r="B61" s="10">
        <v>2021</v>
      </c>
      <c r="C61" s="10" t="s">
        <v>44</v>
      </c>
      <c r="D61" s="10">
        <v>166.7</v>
      </c>
    </row>
    <row r="62" spans="1:4" x14ac:dyDescent="0.35">
      <c r="A62" s="10" t="s">
        <v>33</v>
      </c>
      <c r="B62" s="10">
        <v>2021</v>
      </c>
      <c r="C62" s="10" t="s">
        <v>45</v>
      </c>
      <c r="D62" s="10">
        <v>166.2</v>
      </c>
    </row>
    <row r="63" spans="1:4" x14ac:dyDescent="0.35">
      <c r="A63" s="10" t="s">
        <v>33</v>
      </c>
      <c r="B63" s="10">
        <v>2022</v>
      </c>
      <c r="C63" s="10" t="s">
        <v>31</v>
      </c>
      <c r="D63" s="10">
        <v>165.7</v>
      </c>
    </row>
    <row r="64" spans="1:4" x14ac:dyDescent="0.35">
      <c r="A64" s="10" t="s">
        <v>33</v>
      </c>
      <c r="B64" s="10">
        <v>2022</v>
      </c>
      <c r="C64" s="10" t="s">
        <v>34</v>
      </c>
      <c r="D64" s="10">
        <v>166.1</v>
      </c>
    </row>
    <row r="65" spans="1:4" x14ac:dyDescent="0.35">
      <c r="A65" s="10" t="s">
        <v>33</v>
      </c>
      <c r="B65" s="10">
        <v>2022</v>
      </c>
      <c r="C65" s="10" t="s">
        <v>35</v>
      </c>
      <c r="D65" s="10">
        <v>167.7</v>
      </c>
    </row>
    <row r="66" spans="1:4" x14ac:dyDescent="0.35">
      <c r="A66" s="10" t="s">
        <v>33</v>
      </c>
      <c r="B66" s="10">
        <v>2022</v>
      </c>
      <c r="C66" s="10" t="s">
        <v>36</v>
      </c>
      <c r="D66" s="10">
        <v>170.1</v>
      </c>
    </row>
    <row r="67" spans="1:4" x14ac:dyDescent="0.35">
      <c r="A67" s="10" t="s">
        <v>33</v>
      </c>
      <c r="B67" s="10">
        <v>2022</v>
      </c>
      <c r="C67" s="10" t="s">
        <v>37</v>
      </c>
      <c r="D67" s="10">
        <v>171.7</v>
      </c>
    </row>
    <row r="68" spans="1:4" x14ac:dyDescent="0.35">
      <c r="A68" s="10" t="s">
        <v>33</v>
      </c>
      <c r="B68" s="10">
        <v>2022</v>
      </c>
      <c r="C68" s="10" t="s">
        <v>38</v>
      </c>
      <c r="D68" s="10">
        <v>172.6</v>
      </c>
    </row>
    <row r="69" spans="1:4" x14ac:dyDescent="0.35">
      <c r="A69" s="10" t="s">
        <v>33</v>
      </c>
      <c r="B69" s="10">
        <v>2022</v>
      </c>
      <c r="C69" s="10" t="s">
        <v>39</v>
      </c>
      <c r="D69" s="10">
        <v>173.4</v>
      </c>
    </row>
    <row r="70" spans="1:4" x14ac:dyDescent="0.35">
      <c r="A70" s="10" t="s">
        <v>33</v>
      </c>
      <c r="B70" s="10">
        <v>2022</v>
      </c>
      <c r="C70" s="10" t="s">
        <v>40</v>
      </c>
      <c r="D70" s="10">
        <v>174.3</v>
      </c>
    </row>
    <row r="71" spans="1:4" x14ac:dyDescent="0.35">
      <c r="A71" s="10" t="s">
        <v>33</v>
      </c>
      <c r="B71" s="10">
        <v>2022</v>
      </c>
      <c r="C71" s="10" t="s">
        <v>41</v>
      </c>
      <c r="D71" s="10">
        <v>175.3</v>
      </c>
    </row>
    <row r="72" spans="1:4" x14ac:dyDescent="0.35">
      <c r="A72" s="10" t="s">
        <v>33</v>
      </c>
      <c r="B72" s="10">
        <v>2022</v>
      </c>
      <c r="C72" s="10" t="s">
        <v>42</v>
      </c>
      <c r="D72" s="10">
        <v>176.7</v>
      </c>
    </row>
    <row r="73" spans="1:4" x14ac:dyDescent="0.35">
      <c r="A73" s="10" t="s">
        <v>33</v>
      </c>
      <c r="B73" s="10">
        <v>2022</v>
      </c>
      <c r="C73" s="10" t="s">
        <v>44</v>
      </c>
      <c r="D73" s="10">
        <v>176.5</v>
      </c>
    </row>
    <row r="74" spans="1:4" x14ac:dyDescent="0.35">
      <c r="A74" s="10" t="s">
        <v>33</v>
      </c>
      <c r="B74" s="10">
        <v>2022</v>
      </c>
      <c r="C74" s="10" t="s">
        <v>45</v>
      </c>
      <c r="D74" s="10">
        <v>175.7</v>
      </c>
    </row>
    <row r="75" spans="1:4" x14ac:dyDescent="0.35">
      <c r="A75" s="10" t="s">
        <v>33</v>
      </c>
      <c r="B75" s="10">
        <v>2023</v>
      </c>
      <c r="C75" s="10" t="s">
        <v>31</v>
      </c>
      <c r="D75" s="10">
        <v>176.5</v>
      </c>
    </row>
    <row r="76" spans="1:4" x14ac:dyDescent="0.35">
      <c r="A76" s="10" t="s">
        <v>33</v>
      </c>
      <c r="B76" s="10">
        <v>2023</v>
      </c>
      <c r="C76" s="10" t="s">
        <v>34</v>
      </c>
      <c r="D76" s="10">
        <v>177.2</v>
      </c>
    </row>
    <row r="77" spans="1:4" x14ac:dyDescent="0.35">
      <c r="A77" s="10" t="s">
        <v>33</v>
      </c>
      <c r="B77" s="10">
        <v>2023</v>
      </c>
      <c r="C77" s="10" t="s">
        <v>35</v>
      </c>
      <c r="D77" s="10">
        <v>177.2</v>
      </c>
    </row>
    <row r="78" spans="1:4" x14ac:dyDescent="0.35">
      <c r="A78" s="10" t="s">
        <v>33</v>
      </c>
      <c r="B78" s="10">
        <v>2023</v>
      </c>
      <c r="C78" s="10" t="s">
        <v>36</v>
      </c>
      <c r="D78" s="10">
        <v>178.1</v>
      </c>
    </row>
    <row r="79" spans="1:4" x14ac:dyDescent="0.35">
      <c r="A79" s="10" t="s">
        <v>33</v>
      </c>
      <c r="B79" s="10">
        <v>2023</v>
      </c>
      <c r="C79" s="10" t="s">
        <v>37</v>
      </c>
      <c r="D79" s="10">
        <v>179.1</v>
      </c>
    </row>
  </sheetData>
  <mergeCells count="2">
    <mergeCell ref="A1:U2"/>
    <mergeCell ref="J22:U28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A5218-B051-4A94-A482-226175DE32E9}">
  <dimension ref="A1:U64"/>
  <sheetViews>
    <sheetView zoomScale="40" zoomScaleNormal="40" workbookViewId="0">
      <selection activeCell="A2" sqref="A2"/>
    </sheetView>
  </sheetViews>
  <sheetFormatPr defaultRowHeight="14.5" x14ac:dyDescent="0.35"/>
  <cols>
    <col min="1" max="1" width="13.36328125" customWidth="1"/>
    <col min="2" max="2" width="13.81640625" customWidth="1"/>
    <col min="3" max="3" width="14.453125" customWidth="1"/>
    <col min="4" max="4" width="14.26953125" customWidth="1"/>
    <col min="7" max="7" width="37.26953125" customWidth="1"/>
    <col min="8" max="8" width="21.7265625" customWidth="1"/>
    <col min="9" max="9" width="30.36328125" bestFit="1" customWidth="1"/>
    <col min="10" max="10" width="23.81640625" bestFit="1" customWidth="1"/>
    <col min="11" max="11" width="17.1796875" bestFit="1" customWidth="1"/>
    <col min="12" max="12" width="26.453125" bestFit="1" customWidth="1"/>
    <col min="13" max="13" width="11" bestFit="1" customWidth="1"/>
    <col min="14" max="14" width="16.54296875" bestFit="1" customWidth="1"/>
    <col min="15" max="15" width="29.1796875" bestFit="1" customWidth="1"/>
    <col min="16" max="16" width="35.7265625" bestFit="1" customWidth="1"/>
    <col min="17" max="17" width="15.6328125" bestFit="1" customWidth="1"/>
    <col min="18" max="18" width="35.54296875" bestFit="1" customWidth="1"/>
    <col min="19" max="19" width="50.90625" bestFit="1" customWidth="1"/>
    <col min="20" max="20" width="29.36328125" bestFit="1" customWidth="1"/>
    <col min="21" max="21" width="24.54296875" customWidth="1"/>
  </cols>
  <sheetData>
    <row r="1" spans="1:14" s="28" customFormat="1" ht="57.5" customHeight="1" x14ac:dyDescent="0.35"/>
    <row r="2" spans="1:14" s="6" customFormat="1" x14ac:dyDescent="0.35">
      <c r="A2" s="21" t="s">
        <v>0</v>
      </c>
      <c r="B2" s="21" t="s">
        <v>1</v>
      </c>
      <c r="C2" s="21" t="s">
        <v>2</v>
      </c>
      <c r="D2" s="21" t="s">
        <v>65</v>
      </c>
      <c r="G2" s="3" t="s">
        <v>1</v>
      </c>
      <c r="H2" s="3" t="s">
        <v>2</v>
      </c>
      <c r="I2" s="14" t="s">
        <v>69</v>
      </c>
      <c r="J2" s="14" t="s">
        <v>70</v>
      </c>
      <c r="L2" s="5" t="s">
        <v>1</v>
      </c>
      <c r="M2" s="5" t="s">
        <v>2</v>
      </c>
      <c r="N2" s="14" t="s">
        <v>70</v>
      </c>
    </row>
    <row r="3" spans="1:14" x14ac:dyDescent="0.35">
      <c r="A3" s="10" t="s">
        <v>30</v>
      </c>
      <c r="B3" s="10">
        <v>2022</v>
      </c>
      <c r="C3" s="10" t="s">
        <v>37</v>
      </c>
      <c r="D3" s="10">
        <f>SUM('All_India_Index_Upto_April23 (1'!D338:P338)</f>
        <v>2226.8000000000002</v>
      </c>
      <c r="G3">
        <v>2022</v>
      </c>
      <c r="H3" t="s">
        <v>37</v>
      </c>
      <c r="I3">
        <v>6727.9</v>
      </c>
      <c r="L3" s="6">
        <v>2022</v>
      </c>
      <c r="M3" t="s">
        <v>37</v>
      </c>
    </row>
    <row r="4" spans="1:14" x14ac:dyDescent="0.35">
      <c r="A4" s="10" t="s">
        <v>32</v>
      </c>
      <c r="B4" s="10">
        <v>2022</v>
      </c>
      <c r="C4" s="10" t="s">
        <v>37</v>
      </c>
      <c r="D4" s="10">
        <f>SUM('All_India_Index_Upto_April23 (1'!D339:P339)</f>
        <v>2262.1999999999998</v>
      </c>
      <c r="H4" t="s">
        <v>38</v>
      </c>
      <c r="I4">
        <v>6797.7000000000007</v>
      </c>
      <c r="J4" s="2">
        <v>1.0374708304225848</v>
      </c>
      <c r="L4" s="6"/>
      <c r="M4" t="s">
        <v>38</v>
      </c>
      <c r="N4" s="2">
        <v>1.0374708304225848</v>
      </c>
    </row>
    <row r="5" spans="1:14" x14ac:dyDescent="0.35">
      <c r="A5" s="10" t="s">
        <v>33</v>
      </c>
      <c r="B5" s="10">
        <v>2022</v>
      </c>
      <c r="C5" s="10" t="s">
        <v>37</v>
      </c>
      <c r="D5" s="10">
        <f>SUM('All_India_Index_Upto_April23 (1'!D340:P340)</f>
        <v>2238.9</v>
      </c>
      <c r="H5" t="s">
        <v>39</v>
      </c>
      <c r="I5">
        <v>6810.4000000000005</v>
      </c>
      <c r="J5" s="2">
        <v>0.18682789767126845</v>
      </c>
      <c r="L5" s="6"/>
      <c r="M5" t="s">
        <v>39</v>
      </c>
      <c r="N5" s="2">
        <v>0.18682789767126845</v>
      </c>
    </row>
    <row r="6" spans="1:14" x14ac:dyDescent="0.35">
      <c r="A6" s="10" t="s">
        <v>30</v>
      </c>
      <c r="B6" s="10">
        <v>2022</v>
      </c>
      <c r="C6" s="10" t="s">
        <v>38</v>
      </c>
      <c r="D6" s="10">
        <f>SUM('All_India_Index_Upto_April23 (1'!D341:P341)</f>
        <v>2248.3000000000002</v>
      </c>
      <c r="H6" t="s">
        <v>40</v>
      </c>
      <c r="I6">
        <v>6818.7000000000007</v>
      </c>
      <c r="J6" s="2">
        <v>0.1218724304005665</v>
      </c>
      <c r="L6" s="6"/>
      <c r="M6" t="s">
        <v>40</v>
      </c>
      <c r="N6" s="2">
        <v>0.1218724304005665</v>
      </c>
    </row>
    <row r="7" spans="1:14" x14ac:dyDescent="0.35">
      <c r="A7" s="10" t="s">
        <v>32</v>
      </c>
      <c r="B7" s="10">
        <v>2022</v>
      </c>
      <c r="C7" s="10" t="s">
        <v>38</v>
      </c>
      <c r="D7" s="10">
        <f>SUM('All_India_Index_Upto_April23 (1'!D342:P342)</f>
        <v>2287.5</v>
      </c>
      <c r="H7" t="s">
        <v>41</v>
      </c>
      <c r="I7">
        <v>6855.0999999999995</v>
      </c>
      <c r="J7" s="2">
        <v>0.53382609588336083</v>
      </c>
      <c r="L7" s="6"/>
      <c r="M7" t="s">
        <v>41</v>
      </c>
      <c r="N7" s="2">
        <v>0.53382609588336083</v>
      </c>
    </row>
    <row r="8" spans="1:14" x14ac:dyDescent="0.35">
      <c r="A8" s="10" t="s">
        <v>33</v>
      </c>
      <c r="B8" s="10">
        <v>2022</v>
      </c>
      <c r="C8" s="10" t="s">
        <v>38</v>
      </c>
      <c r="D8" s="10">
        <f>SUM('All_India_Index_Upto_April23 (1'!D343:P343)</f>
        <v>2261.9</v>
      </c>
      <c r="H8" t="s">
        <v>42</v>
      </c>
      <c r="I8">
        <v>6904.0999999999995</v>
      </c>
      <c r="J8" s="2">
        <v>0.71479628305932819</v>
      </c>
      <c r="L8" s="6"/>
      <c r="M8" t="s">
        <v>42</v>
      </c>
      <c r="N8" s="2">
        <v>0.71479628305932819</v>
      </c>
    </row>
    <row r="9" spans="1:14" x14ac:dyDescent="0.35">
      <c r="A9" s="10" t="s">
        <v>30</v>
      </c>
      <c r="B9" s="10">
        <v>2022</v>
      </c>
      <c r="C9" s="10" t="s">
        <v>39</v>
      </c>
      <c r="D9" s="10">
        <f>SUM('All_India_Index_Upto_April23 (1'!D344:P344)</f>
        <v>2252.5</v>
      </c>
      <c r="H9" t="s">
        <v>44</v>
      </c>
      <c r="I9">
        <v>6898.9000000000005</v>
      </c>
      <c r="J9" s="2">
        <v>-7.531756492517358E-2</v>
      </c>
      <c r="L9" s="6"/>
      <c r="M9" t="s">
        <v>44</v>
      </c>
      <c r="N9" s="2">
        <v>-7.531756492517358E-2</v>
      </c>
    </row>
    <row r="10" spans="1:14" x14ac:dyDescent="0.35">
      <c r="A10" s="10" t="s">
        <v>32</v>
      </c>
      <c r="B10" s="10">
        <v>2022</v>
      </c>
      <c r="C10" s="10" t="s">
        <v>39</v>
      </c>
      <c r="D10" s="10">
        <f>SUM('All_India_Index_Upto_April23 (1'!D345:P345)</f>
        <v>2291.6</v>
      </c>
      <c r="H10" t="s">
        <v>45</v>
      </c>
      <c r="I10">
        <v>6856.2999999999993</v>
      </c>
      <c r="J10" s="2">
        <v>-0.61748974474193385</v>
      </c>
      <c r="L10" s="7"/>
      <c r="M10" t="s">
        <v>45</v>
      </c>
      <c r="N10" s="2">
        <v>-0.61748974474193385</v>
      </c>
    </row>
    <row r="11" spans="1:14" x14ac:dyDescent="0.35">
      <c r="A11" s="10" t="s">
        <v>33</v>
      </c>
      <c r="B11" s="10">
        <v>2022</v>
      </c>
      <c r="C11" s="10" t="s">
        <v>39</v>
      </c>
      <c r="D11" s="10">
        <f>SUM('All_India_Index_Upto_April23 (1'!D346:P346)</f>
        <v>2266.3000000000002</v>
      </c>
      <c r="G11">
        <v>2023</v>
      </c>
      <c r="H11" t="s">
        <v>31</v>
      </c>
      <c r="I11">
        <v>6886.1</v>
      </c>
      <c r="J11" s="2">
        <v>0.43463675743478397</v>
      </c>
      <c r="L11" s="6">
        <v>2023</v>
      </c>
      <c r="M11" t="s">
        <v>31</v>
      </c>
      <c r="N11" s="2">
        <v>0.43463675743478397</v>
      </c>
    </row>
    <row r="12" spans="1:14" x14ac:dyDescent="0.35">
      <c r="A12" s="10" t="s">
        <v>30</v>
      </c>
      <c r="B12" s="10">
        <v>2022</v>
      </c>
      <c r="C12" s="10" t="s">
        <v>40</v>
      </c>
      <c r="D12" s="10">
        <f>SUM('All_India_Index_Upto_April23 (1'!D347:P347)</f>
        <v>2255.7999999999997</v>
      </c>
      <c r="H12" t="s">
        <v>34</v>
      </c>
      <c r="I12">
        <v>6848</v>
      </c>
      <c r="J12" s="2">
        <v>-0.55328850873499313</v>
      </c>
      <c r="L12" s="6"/>
      <c r="M12" t="s">
        <v>34</v>
      </c>
      <c r="N12" s="2">
        <v>-0.55328850873499313</v>
      </c>
    </row>
    <row r="13" spans="1:14" x14ac:dyDescent="0.35">
      <c r="A13" s="10" t="s">
        <v>32</v>
      </c>
      <c r="B13" s="10">
        <v>2022</v>
      </c>
      <c r="C13" s="10" t="s">
        <v>40</v>
      </c>
      <c r="D13" s="10">
        <f>SUM('All_India_Index_Upto_April23 (1'!D348:P348)</f>
        <v>2293.7000000000003</v>
      </c>
      <c r="H13" t="s">
        <v>35</v>
      </c>
      <c r="I13">
        <v>6848.4000000000005</v>
      </c>
      <c r="J13" s="2">
        <v>5.841121495335071E-3</v>
      </c>
      <c r="L13" s="6"/>
      <c r="M13" t="s">
        <v>35</v>
      </c>
      <c r="N13" s="2">
        <v>5.841121495335071E-3</v>
      </c>
    </row>
    <row r="14" spans="1:14" x14ac:dyDescent="0.35">
      <c r="A14" s="10" t="s">
        <v>33</v>
      </c>
      <c r="B14" s="10">
        <v>2022</v>
      </c>
      <c r="C14" s="10" t="s">
        <v>40</v>
      </c>
      <c r="D14" s="10">
        <f>SUM('All_India_Index_Upto_April23 (1'!D349:P349)</f>
        <v>2269.2000000000003</v>
      </c>
      <c r="H14" t="s">
        <v>36</v>
      </c>
      <c r="I14">
        <v>6881.5</v>
      </c>
      <c r="J14" s="2">
        <v>0.48332457216283298</v>
      </c>
      <c r="L14" s="6"/>
      <c r="M14" t="s">
        <v>36</v>
      </c>
      <c r="N14" s="2">
        <v>0.48332457216283298</v>
      </c>
    </row>
    <row r="15" spans="1:14" x14ac:dyDescent="0.35">
      <c r="A15" s="10" t="s">
        <v>30</v>
      </c>
      <c r="B15" s="10">
        <v>2022</v>
      </c>
      <c r="C15" s="10" t="s">
        <v>41</v>
      </c>
      <c r="D15" s="10">
        <f>SUM('All_India_Index_Upto_April23 (1'!D350:P350)</f>
        <v>2267.7999999999997</v>
      </c>
      <c r="H15" t="s">
        <v>37</v>
      </c>
      <c r="I15">
        <v>6932.7000000000007</v>
      </c>
      <c r="J15" s="2">
        <v>0.74402383201337974</v>
      </c>
      <c r="L15" s="7"/>
      <c r="M15" t="s">
        <v>37</v>
      </c>
      <c r="N15" s="2">
        <v>0.74402383201337974</v>
      </c>
    </row>
    <row r="16" spans="1:14" x14ac:dyDescent="0.35">
      <c r="A16" s="10" t="s">
        <v>32</v>
      </c>
      <c r="B16" s="10">
        <v>2022</v>
      </c>
      <c r="C16" s="10" t="s">
        <v>41</v>
      </c>
      <c r="D16" s="10">
        <f>SUM('All_India_Index_Upto_April23 (1'!D351:P351)</f>
        <v>2306.4</v>
      </c>
      <c r="G16" t="s">
        <v>60</v>
      </c>
    </row>
    <row r="17" spans="1:21" x14ac:dyDescent="0.35">
      <c r="A17" s="10" t="s">
        <v>33</v>
      </c>
      <c r="B17" s="10">
        <v>2022</v>
      </c>
      <c r="C17" s="10" t="s">
        <v>41</v>
      </c>
      <c r="D17" s="10">
        <f>SUM('All_India_Index_Upto_April23 (1'!D352:P352)</f>
        <v>2280.8999999999996</v>
      </c>
    </row>
    <row r="18" spans="1:21" x14ac:dyDescent="0.35">
      <c r="A18" s="10" t="s">
        <v>30</v>
      </c>
      <c r="B18" s="10">
        <v>2022</v>
      </c>
      <c r="C18" s="10" t="s">
        <v>42</v>
      </c>
      <c r="D18" s="10">
        <f>SUM('All_India_Index_Upto_April23 (1'!D353:P353)</f>
        <v>2284.4999999999995</v>
      </c>
    </row>
    <row r="19" spans="1:21" x14ac:dyDescent="0.35">
      <c r="A19" s="10" t="s">
        <v>32</v>
      </c>
      <c r="B19" s="10">
        <v>2022</v>
      </c>
      <c r="C19" s="10" t="s">
        <v>42</v>
      </c>
      <c r="D19" s="10">
        <f>SUM('All_India_Index_Upto_April23 (1'!D354:P354)</f>
        <v>2322.3000000000002</v>
      </c>
    </row>
    <row r="20" spans="1:21" x14ac:dyDescent="0.35">
      <c r="A20" s="10" t="s">
        <v>33</v>
      </c>
      <c r="B20" s="10">
        <v>2022</v>
      </c>
      <c r="C20" s="10" t="s">
        <v>42</v>
      </c>
      <c r="D20" s="10">
        <f>SUM('All_India_Index_Upto_April23 (1'!D355:P355)</f>
        <v>2297.3000000000002</v>
      </c>
    </row>
    <row r="21" spans="1:21" x14ac:dyDescent="0.35">
      <c r="A21" s="10" t="s">
        <v>30</v>
      </c>
      <c r="B21" s="10">
        <v>2022</v>
      </c>
      <c r="C21" s="10" t="s">
        <v>44</v>
      </c>
      <c r="D21" s="10">
        <f>SUM('All_India_Index_Upto_April23 (1'!D356:P356)</f>
        <v>2287.7000000000003</v>
      </c>
    </row>
    <row r="22" spans="1:21" x14ac:dyDescent="0.35">
      <c r="A22" s="10" t="s">
        <v>32</v>
      </c>
      <c r="B22" s="10">
        <v>2022</v>
      </c>
      <c r="C22" s="10" t="s">
        <v>44</v>
      </c>
      <c r="D22" s="10">
        <f>SUM('All_India_Index_Upto_April23 (1'!D357:P357)</f>
        <v>2314.4</v>
      </c>
    </row>
    <row r="23" spans="1:21" x14ac:dyDescent="0.35">
      <c r="A23" s="10" t="s">
        <v>33</v>
      </c>
      <c r="B23" s="10">
        <v>2022</v>
      </c>
      <c r="C23" s="10" t="s">
        <v>44</v>
      </c>
      <c r="D23" s="10">
        <f>SUM('All_India_Index_Upto_April23 (1'!D358:P358)</f>
        <v>2296.8000000000002</v>
      </c>
    </row>
    <row r="24" spans="1:21" x14ac:dyDescent="0.35">
      <c r="A24" s="10" t="s">
        <v>30</v>
      </c>
      <c r="B24" s="10">
        <v>2022</v>
      </c>
      <c r="C24" s="10" t="s">
        <v>45</v>
      </c>
      <c r="D24" s="10">
        <f>SUM('All_India_Index_Upto_April23 (1'!D359:P359)</f>
        <v>2277.1000000000004</v>
      </c>
    </row>
    <row r="25" spans="1:21" x14ac:dyDescent="0.35">
      <c r="A25" s="10" t="s">
        <v>32</v>
      </c>
      <c r="B25" s="10">
        <v>2022</v>
      </c>
      <c r="C25" s="10" t="s">
        <v>45</v>
      </c>
      <c r="D25" s="10">
        <f>SUM('All_India_Index_Upto_April23 (1'!D360:P360)</f>
        <v>2295.7999999999997</v>
      </c>
    </row>
    <row r="26" spans="1:21" x14ac:dyDescent="0.35">
      <c r="A26" s="10" t="s">
        <v>33</v>
      </c>
      <c r="B26" s="10">
        <v>2022</v>
      </c>
      <c r="C26" s="10" t="s">
        <v>45</v>
      </c>
      <c r="D26" s="10">
        <f>SUM('All_India_Index_Upto_April23 (1'!D361:P361)</f>
        <v>2283.4</v>
      </c>
    </row>
    <row r="27" spans="1:21" x14ac:dyDescent="0.35">
      <c r="A27" s="10" t="s">
        <v>30</v>
      </c>
      <c r="B27" s="10">
        <v>2023</v>
      </c>
      <c r="C27" s="10" t="s">
        <v>31</v>
      </c>
      <c r="D27" s="10">
        <f>SUM('All_India_Index_Upto_April23 (1'!D362:P362)</f>
        <v>2283.2000000000003</v>
      </c>
    </row>
    <row r="28" spans="1:21" x14ac:dyDescent="0.35">
      <c r="A28" s="10" t="s">
        <v>32</v>
      </c>
      <c r="B28" s="10">
        <v>2023</v>
      </c>
      <c r="C28" s="10" t="s">
        <v>31</v>
      </c>
      <c r="D28" s="10">
        <f>SUM('All_India_Index_Upto_April23 (1'!D363:P363)</f>
        <v>2310.1999999999998</v>
      </c>
    </row>
    <row r="29" spans="1:21" x14ac:dyDescent="0.35">
      <c r="A29" s="10" t="s">
        <v>33</v>
      </c>
      <c r="B29" s="10">
        <v>2023</v>
      </c>
      <c r="C29" s="10" t="s">
        <v>31</v>
      </c>
      <c r="D29" s="10">
        <f>SUM('All_India_Index_Upto_April23 (1'!D364:P364)</f>
        <v>2292.7000000000003</v>
      </c>
    </row>
    <row r="30" spans="1:21" x14ac:dyDescent="0.35">
      <c r="A30" s="10" t="s">
        <v>30</v>
      </c>
      <c r="B30" s="10">
        <v>2023</v>
      </c>
      <c r="C30" s="10" t="s">
        <v>34</v>
      </c>
      <c r="D30" s="10">
        <f>SUM('All_India_Index_Upto_April23 (1'!D365:P365)</f>
        <v>2265.7000000000003</v>
      </c>
    </row>
    <row r="31" spans="1:21" ht="18.5" x14ac:dyDescent="0.45">
      <c r="A31" s="10" t="s">
        <v>32</v>
      </c>
      <c r="B31" s="10">
        <v>2023</v>
      </c>
      <c r="C31" s="10" t="s">
        <v>34</v>
      </c>
      <c r="D31" s="10">
        <f>SUM('All_India_Index_Upto_April23 (1'!D366:P366)</f>
        <v>2303.1999999999998</v>
      </c>
      <c r="G31" s="18" t="s">
        <v>71</v>
      </c>
      <c r="H31" s="18" t="s">
        <v>2</v>
      </c>
      <c r="I31" s="27" t="s">
        <v>3</v>
      </c>
      <c r="J31" s="18" t="s">
        <v>4</v>
      </c>
      <c r="K31" s="18" t="s">
        <v>5</v>
      </c>
      <c r="L31" s="18" t="s">
        <v>6</v>
      </c>
      <c r="M31" s="18" t="s">
        <v>8</v>
      </c>
      <c r="N31" s="18" t="s">
        <v>9</v>
      </c>
      <c r="O31" s="18" t="s">
        <v>10</v>
      </c>
      <c r="P31" s="18" t="s">
        <v>11</v>
      </c>
      <c r="Q31" s="18" t="s">
        <v>12</v>
      </c>
      <c r="R31" s="18" t="s">
        <v>13</v>
      </c>
      <c r="S31" s="18" t="s">
        <v>14</v>
      </c>
      <c r="T31" s="18" t="s">
        <v>15</v>
      </c>
      <c r="U31" s="18" t="s">
        <v>7</v>
      </c>
    </row>
    <row r="32" spans="1:21" ht="18.5" x14ac:dyDescent="0.45">
      <c r="A32" s="10" t="s">
        <v>33</v>
      </c>
      <c r="B32" s="10">
        <v>2023</v>
      </c>
      <c r="C32" s="10" t="s">
        <v>34</v>
      </c>
      <c r="D32" s="10">
        <f>SUM('All_India_Index_Upto_April23 (1'!D367:P367)</f>
        <v>2279.1000000000004</v>
      </c>
      <c r="G32" s="15">
        <v>2022</v>
      </c>
      <c r="H32" s="15" t="s">
        <v>72</v>
      </c>
      <c r="I32" s="15">
        <f>SUM('Extra Sheet '!O5:O7)</f>
        <v>466.3</v>
      </c>
      <c r="J32" s="15">
        <f>SUM('Extra Sheet '!P5:P7)</f>
        <v>660</v>
      </c>
      <c r="K32" s="15">
        <f>SUM('Extra Sheet '!Q5:Q7)</f>
        <v>513.20000000000005</v>
      </c>
      <c r="L32" s="15">
        <f>SUM('Extra Sheet '!R5:R7)</f>
        <v>497.6</v>
      </c>
      <c r="M32" s="15">
        <f>SUM('Extra Sheet '!S5:S7)</f>
        <v>509.59999999999997</v>
      </c>
      <c r="N32" s="15">
        <f>SUM('Extra Sheet '!T5:T7)</f>
        <v>561.1</v>
      </c>
      <c r="O32" s="15">
        <f>SUM('Extra Sheet '!U5:U7)</f>
        <v>492.5</v>
      </c>
      <c r="P32" s="15">
        <f>SUM('Extra Sheet '!V5:V7)</f>
        <v>360.4</v>
      </c>
      <c r="Q32" s="15">
        <f>SUM('Extra Sheet '!W5:W7)</f>
        <v>559.5</v>
      </c>
      <c r="R32" s="15">
        <f>SUM('Extra Sheet '!X5:X7)</f>
        <v>501.19999999999993</v>
      </c>
      <c r="S32" s="15">
        <f>SUM('Extra Sheet '!Y5:Y7)</f>
        <v>552.1</v>
      </c>
      <c r="T32" s="15">
        <f>SUM('Extra Sheet '!Z5:Z7)</f>
        <v>526.6</v>
      </c>
      <c r="U32" s="15">
        <f>SUM('Extra Sheet '!AA5:AA7)</f>
        <v>597.6</v>
      </c>
    </row>
    <row r="33" spans="1:21" ht="18.5" x14ac:dyDescent="0.45">
      <c r="A33" s="10" t="s">
        <v>30</v>
      </c>
      <c r="B33" s="10">
        <v>2023</v>
      </c>
      <c r="C33" s="10" t="s">
        <v>35</v>
      </c>
      <c r="D33" s="10">
        <f>SUM('All_India_Index_Upto_April23 (1'!D368:P368)</f>
        <v>2265.8000000000002</v>
      </c>
      <c r="G33" s="15">
        <v>2023</v>
      </c>
      <c r="H33" s="15" t="s">
        <v>37</v>
      </c>
      <c r="I33" s="15">
        <f>SUM('Extra Sheet '!O8:O10)</f>
        <v>521.59999999999991</v>
      </c>
      <c r="J33" s="15">
        <f>SUM('Extra Sheet '!P8:P10)</f>
        <v>645.20000000000005</v>
      </c>
      <c r="K33" s="15">
        <f>SUM('Extra Sheet '!Q8:Q10)</f>
        <v>520.9</v>
      </c>
      <c r="L33" s="15">
        <f>SUM('Extra Sheet '!R8:R10)</f>
        <v>538.5</v>
      </c>
      <c r="M33" s="15">
        <f>SUM('Extra Sheet '!S8:S10)</f>
        <v>517</v>
      </c>
      <c r="N33" s="15">
        <f>SUM('Extra Sheet '!T8:T10)</f>
        <v>494.7</v>
      </c>
      <c r="O33" s="15">
        <f>SUM('Extra Sheet '!U8:U10)</f>
        <v>527.4</v>
      </c>
      <c r="P33" s="15">
        <f>SUM('Extra Sheet '!V8:V10)</f>
        <v>368.8</v>
      </c>
      <c r="Q33" s="15">
        <f>SUM('Extra Sheet '!W8:W10)</f>
        <v>650.9</v>
      </c>
      <c r="R33" s="15">
        <f>SUM('Extra Sheet '!X8:X10)</f>
        <v>518</v>
      </c>
      <c r="S33" s="15">
        <f>SUM('Extra Sheet '!Y8:Y10)</f>
        <v>583</v>
      </c>
      <c r="T33" s="15">
        <f>SUM('Extra Sheet '!Z8:Z10)</f>
        <v>539</v>
      </c>
      <c r="U33" s="15">
        <f>SUM('Extra Sheet '!AA8:AA10)</f>
        <v>507.70000000000005</v>
      </c>
    </row>
    <row r="34" spans="1:21" ht="18.5" x14ac:dyDescent="0.45">
      <c r="A34" s="10" t="s">
        <v>32</v>
      </c>
      <c r="B34" s="10">
        <v>2023</v>
      </c>
      <c r="C34" s="10" t="s">
        <v>35</v>
      </c>
      <c r="D34" s="10">
        <f>SUM('All_India_Index_Upto_April23 (1'!D369:P369)</f>
        <v>2303.4</v>
      </c>
      <c r="G34" s="17" t="s">
        <v>73</v>
      </c>
      <c r="H34" s="17"/>
      <c r="I34" s="17">
        <f>I33-I32</f>
        <v>55.299999999999898</v>
      </c>
      <c r="J34" s="17">
        <f t="shared" ref="J34:P34" si="0">J33-J32</f>
        <v>-14.799999999999955</v>
      </c>
      <c r="K34" s="17">
        <f t="shared" si="0"/>
        <v>7.6999999999999318</v>
      </c>
      <c r="L34" s="17">
        <f t="shared" si="0"/>
        <v>40.899999999999977</v>
      </c>
      <c r="M34" s="17">
        <f t="shared" si="0"/>
        <v>7.4000000000000341</v>
      </c>
      <c r="N34" s="17">
        <f t="shared" si="0"/>
        <v>-66.400000000000034</v>
      </c>
      <c r="O34" s="17">
        <f t="shared" si="0"/>
        <v>34.899999999999977</v>
      </c>
      <c r="P34" s="17">
        <f t="shared" si="0"/>
        <v>8.4000000000000341</v>
      </c>
      <c r="Q34" s="17">
        <f>Q33-Q32</f>
        <v>91.399999999999977</v>
      </c>
      <c r="R34" s="17">
        <f t="shared" ref="R34" si="1">R33-R32</f>
        <v>16.800000000000068</v>
      </c>
      <c r="S34" s="17">
        <f t="shared" ref="S34" si="2">S33-S32</f>
        <v>30.899999999999977</v>
      </c>
      <c r="T34" s="17">
        <f t="shared" ref="T34" si="3">T33-T32</f>
        <v>12.399999999999977</v>
      </c>
      <c r="U34" s="17">
        <f t="shared" ref="U34" si="4">U33-U32</f>
        <v>-89.899999999999977</v>
      </c>
    </row>
    <row r="35" spans="1:21" ht="18.5" x14ac:dyDescent="0.45">
      <c r="A35" s="10" t="s">
        <v>33</v>
      </c>
      <c r="B35" s="10">
        <v>2023</v>
      </c>
      <c r="C35" s="10" t="s">
        <v>35</v>
      </c>
      <c r="D35" s="10">
        <f>SUM('All_India_Index_Upto_April23 (1'!D370:P370)</f>
        <v>2279.1999999999998</v>
      </c>
      <c r="G35" s="16" t="s">
        <v>74</v>
      </c>
      <c r="H35" s="16"/>
      <c r="I35" s="20">
        <v>11.859318035599378</v>
      </c>
      <c r="J35" s="20">
        <v>-2.2424242424242355</v>
      </c>
      <c r="K35" s="20">
        <v>1.5003897116133926</v>
      </c>
      <c r="L35" s="20">
        <v>8.2194533762057826</v>
      </c>
      <c r="M35" s="20">
        <v>1.4521193092621731</v>
      </c>
      <c r="N35" s="20">
        <v>-11.833897700944579</v>
      </c>
      <c r="O35" s="20">
        <v>7.0862944162436508</v>
      </c>
      <c r="P35" s="20">
        <v>2.3307436182020074</v>
      </c>
      <c r="Q35" s="20">
        <v>16.336014298480784</v>
      </c>
      <c r="R35" s="20">
        <v>3.3519553072625836</v>
      </c>
      <c r="S35" s="20">
        <v>5.5968121717080193</v>
      </c>
      <c r="T35" s="20">
        <v>2.3547284466388105</v>
      </c>
      <c r="U35" s="20">
        <v>-15.043507362784467</v>
      </c>
    </row>
    <row r="36" spans="1:21" x14ac:dyDescent="0.35">
      <c r="A36" s="10" t="s">
        <v>30</v>
      </c>
      <c r="B36" s="10">
        <v>2023</v>
      </c>
      <c r="C36" s="10" t="s">
        <v>36</v>
      </c>
      <c r="D36" s="10">
        <f>SUM('All_India_Index_Upto_April23 (1'!D371:P371)</f>
        <v>2274.1999999999998</v>
      </c>
    </row>
    <row r="37" spans="1:21" x14ac:dyDescent="0.35">
      <c r="A37" s="10" t="s">
        <v>32</v>
      </c>
      <c r="B37" s="10">
        <v>2023</v>
      </c>
      <c r="C37" s="10" t="s">
        <v>36</v>
      </c>
      <c r="D37" s="10">
        <f>SUM('All_India_Index_Upto_April23 (1'!D372:P372)</f>
        <v>2317.6999999999998</v>
      </c>
    </row>
    <row r="38" spans="1:21" x14ac:dyDescent="0.35">
      <c r="A38" s="10" t="s">
        <v>33</v>
      </c>
      <c r="B38" s="10">
        <v>2023</v>
      </c>
      <c r="C38" s="10" t="s">
        <v>36</v>
      </c>
      <c r="D38" s="10">
        <f>SUM('All_India_Index_Upto_April23 (1'!D373:P373)</f>
        <v>2289.6000000000004</v>
      </c>
    </row>
    <row r="39" spans="1:21" x14ac:dyDescent="0.35">
      <c r="A39" s="10" t="s">
        <v>30</v>
      </c>
      <c r="B39" s="10">
        <v>2023</v>
      </c>
      <c r="C39" s="10" t="s">
        <v>37</v>
      </c>
      <c r="D39" s="10">
        <f>SUM('All_India_Index_Upto_April23 (1'!D374:P374)</f>
        <v>2290.7000000000003</v>
      </c>
    </row>
    <row r="40" spans="1:21" ht="37" x14ac:dyDescent="0.45">
      <c r="A40" s="10" t="s">
        <v>32</v>
      </c>
      <c r="B40" s="10">
        <v>2023</v>
      </c>
      <c r="C40" s="10" t="s">
        <v>37</v>
      </c>
      <c r="D40" s="10">
        <f>SUM('All_India_Index_Upto_April23 (1'!D375:P375)</f>
        <v>2335.1000000000004</v>
      </c>
      <c r="G40" s="19" t="s">
        <v>47</v>
      </c>
      <c r="H40" s="26" t="s">
        <v>74</v>
      </c>
    </row>
    <row r="41" spans="1:21" ht="18.5" x14ac:dyDescent="0.45">
      <c r="A41" s="10" t="s">
        <v>33</v>
      </c>
      <c r="B41" s="10">
        <v>2023</v>
      </c>
      <c r="C41" s="10" t="s">
        <v>37</v>
      </c>
      <c r="D41" s="10">
        <f>SUM('All_India_Index_Upto_April23 (1'!D376:P376)</f>
        <v>2306.9</v>
      </c>
      <c r="G41" s="18" t="s">
        <v>3</v>
      </c>
      <c r="H41" s="20">
        <v>11.859318035599378</v>
      </c>
    </row>
    <row r="42" spans="1:21" ht="18.5" x14ac:dyDescent="0.45">
      <c r="G42" s="18" t="s">
        <v>4</v>
      </c>
      <c r="H42" s="20">
        <v>-2.2424242424242355</v>
      </c>
    </row>
    <row r="43" spans="1:21" ht="18.5" x14ac:dyDescent="0.45">
      <c r="G43" s="18" t="s">
        <v>5</v>
      </c>
      <c r="H43" s="20">
        <v>1.5003897116133926</v>
      </c>
    </row>
    <row r="44" spans="1:21" ht="18.5" x14ac:dyDescent="0.45">
      <c r="G44" s="18" t="s">
        <v>6</v>
      </c>
      <c r="H44" s="20">
        <v>8.2194533762057826</v>
      </c>
    </row>
    <row r="45" spans="1:21" ht="18.5" x14ac:dyDescent="0.45">
      <c r="G45" s="18" t="s">
        <v>8</v>
      </c>
      <c r="H45" s="20">
        <v>1.4521193092621731</v>
      </c>
    </row>
    <row r="46" spans="1:21" ht="18.5" x14ac:dyDescent="0.45">
      <c r="G46" s="18" t="s">
        <v>9</v>
      </c>
      <c r="H46" s="20">
        <v>-11.833897700944579</v>
      </c>
    </row>
    <row r="47" spans="1:21" ht="18.5" x14ac:dyDescent="0.45">
      <c r="G47" s="18" t="s">
        <v>10</v>
      </c>
      <c r="H47" s="20">
        <v>7.0862944162436508</v>
      </c>
    </row>
    <row r="48" spans="1:21" ht="18.5" x14ac:dyDescent="0.45">
      <c r="G48" s="18" t="s">
        <v>11</v>
      </c>
      <c r="H48" s="20">
        <v>2.3307436182020074</v>
      </c>
    </row>
    <row r="49" spans="7:10" ht="18.5" x14ac:dyDescent="0.45">
      <c r="G49" s="18" t="s">
        <v>12</v>
      </c>
      <c r="H49" s="20">
        <v>16.336014298480784</v>
      </c>
    </row>
    <row r="50" spans="7:10" ht="18.5" x14ac:dyDescent="0.45">
      <c r="G50" s="18" t="s">
        <v>13</v>
      </c>
      <c r="H50" s="20">
        <v>3.3519553072625836</v>
      </c>
    </row>
    <row r="51" spans="7:10" ht="18.5" x14ac:dyDescent="0.45">
      <c r="G51" s="18" t="s">
        <v>14</v>
      </c>
      <c r="H51" s="20">
        <v>5.5968121717080193</v>
      </c>
    </row>
    <row r="52" spans="7:10" ht="18.5" x14ac:dyDescent="0.45">
      <c r="G52" s="18" t="s">
        <v>15</v>
      </c>
      <c r="H52" s="20">
        <v>2.3547284466388105</v>
      </c>
    </row>
    <row r="53" spans="7:10" ht="18.5" x14ac:dyDescent="0.45">
      <c r="G53" s="18" t="s">
        <v>7</v>
      </c>
      <c r="H53" s="20">
        <v>-15.043507362784467</v>
      </c>
    </row>
    <row r="64" spans="7:10" x14ac:dyDescent="0.35">
      <c r="J64" s="22"/>
    </row>
  </sheetData>
  <mergeCells count="1">
    <mergeCell ref="A1:XFD1"/>
  </mergeCells>
  <phoneticPr fontId="18" type="noConversion"/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AF2C5-BBB1-4E11-A530-304C56ED63EF}">
  <dimension ref="A5:AC54"/>
  <sheetViews>
    <sheetView zoomScale="53" zoomScaleNormal="50" workbookViewId="0">
      <selection activeCell="AB13" sqref="AB13"/>
    </sheetView>
  </sheetViews>
  <sheetFormatPr defaultRowHeight="14.5" x14ac:dyDescent="0.35"/>
  <cols>
    <col min="2" max="2" width="11.7265625" customWidth="1"/>
    <col min="3" max="3" width="13.453125" style="2" customWidth="1"/>
    <col min="4" max="5" width="13.7265625" bestFit="1" customWidth="1"/>
    <col min="6" max="6" width="11.1796875" bestFit="1" customWidth="1"/>
    <col min="7" max="7" width="29.54296875" bestFit="1" customWidth="1"/>
    <col min="8" max="8" width="16.08984375" bestFit="1" customWidth="1"/>
  </cols>
  <sheetData>
    <row r="5" spans="1:29" x14ac:dyDescent="0.35">
      <c r="A5" s="21" t="s">
        <v>79</v>
      </c>
      <c r="B5" s="21" t="s">
        <v>78</v>
      </c>
      <c r="C5" s="36" t="s">
        <v>69</v>
      </c>
      <c r="E5" s="3" t="s">
        <v>79</v>
      </c>
      <c r="F5" s="3" t="s">
        <v>78</v>
      </c>
      <c r="G5" t="s">
        <v>80</v>
      </c>
    </row>
    <row r="6" spans="1:29" x14ac:dyDescent="0.35">
      <c r="A6" s="10">
        <v>2019</v>
      </c>
      <c r="B6" s="10" t="s">
        <v>31</v>
      </c>
      <c r="C6" s="11">
        <f>SUM('Extra Sheet '!D5:I7)</f>
        <v>2482.6550999999999</v>
      </c>
      <c r="E6">
        <v>2019</v>
      </c>
      <c r="F6" t="s">
        <v>31</v>
      </c>
      <c r="G6" s="4"/>
    </row>
    <row r="7" spans="1:29" x14ac:dyDescent="0.35">
      <c r="A7" s="10">
        <v>2019</v>
      </c>
      <c r="B7" s="10" t="s">
        <v>34</v>
      </c>
      <c r="C7" s="11">
        <f>SUM('Extra Sheet '!D6:I8)</f>
        <v>2482.4550999999997</v>
      </c>
      <c r="F7" t="s">
        <v>34</v>
      </c>
      <c r="G7" s="4">
        <v>-8.055891452673907E-5</v>
      </c>
    </row>
    <row r="8" spans="1:29" x14ac:dyDescent="0.35">
      <c r="A8" s="10">
        <v>2019</v>
      </c>
      <c r="B8" s="10" t="s">
        <v>35</v>
      </c>
      <c r="C8" s="11">
        <f>SUM('Extra Sheet '!D7:I9)</f>
        <v>2484.3550999999998</v>
      </c>
      <c r="F8" t="s">
        <v>35</v>
      </c>
      <c r="G8" s="4">
        <v>6.847507734762747E-4</v>
      </c>
    </row>
    <row r="9" spans="1:29" x14ac:dyDescent="0.35">
      <c r="A9" s="10">
        <v>2019</v>
      </c>
      <c r="B9" s="10" t="s">
        <v>36</v>
      </c>
      <c r="C9" s="11">
        <f>SUM('Extra Sheet '!D14:I16)</f>
        <v>2542.2823727272726</v>
      </c>
      <c r="F9" t="s">
        <v>36</v>
      </c>
      <c r="G9" s="4">
        <v>2.4017541835461807E-2</v>
      </c>
    </row>
    <row r="10" spans="1:29" x14ac:dyDescent="0.35">
      <c r="A10" s="10">
        <v>2019</v>
      </c>
      <c r="B10" s="10" t="s">
        <v>37</v>
      </c>
      <c r="C10" s="11">
        <f>SUM('Extra Sheet '!D17:I19)</f>
        <v>2519.0551</v>
      </c>
      <c r="F10" t="s">
        <v>37</v>
      </c>
      <c r="G10" s="4">
        <v>1.4661722443846547E-2</v>
      </c>
    </row>
    <row r="11" spans="1:29" x14ac:dyDescent="0.35">
      <c r="A11" s="10">
        <v>2019</v>
      </c>
      <c r="B11" s="10" t="s">
        <v>38</v>
      </c>
      <c r="C11" s="11">
        <f>SUM('Extra Sheet '!D18:I20)</f>
        <v>2523.3550999999998</v>
      </c>
      <c r="F11" t="s">
        <v>38</v>
      </c>
      <c r="G11" s="4">
        <v>1.6393739106168963E-2</v>
      </c>
    </row>
    <row r="12" spans="1:29" x14ac:dyDescent="0.35">
      <c r="A12" s="10">
        <v>2019</v>
      </c>
      <c r="B12" s="10" t="s">
        <v>39</v>
      </c>
      <c r="C12" s="11">
        <f>SUM('Extra Sheet '!D19:I21)</f>
        <v>2526.1550999999999</v>
      </c>
      <c r="F12" t="s">
        <v>39</v>
      </c>
      <c r="G12" s="4">
        <v>1.7521563909541845E-2</v>
      </c>
    </row>
    <row r="13" spans="1:29" x14ac:dyDescent="0.35">
      <c r="A13" s="10">
        <v>2019</v>
      </c>
      <c r="B13" s="10" t="s">
        <v>40</v>
      </c>
      <c r="C13" s="11">
        <f>SUM('Extra Sheet '!D20:I22)</f>
        <v>2529.2550999999999</v>
      </c>
      <c r="F13" t="s">
        <v>40</v>
      </c>
      <c r="G13" s="4">
        <v>1.877022708470456E-2</v>
      </c>
    </row>
    <row r="14" spans="1:29" x14ac:dyDescent="0.35">
      <c r="A14" s="10">
        <v>2019</v>
      </c>
      <c r="B14" s="10" t="s">
        <v>41</v>
      </c>
      <c r="C14" s="11">
        <f>SUM('Extra Sheet '!D21:I23)</f>
        <v>2533.0551</v>
      </c>
      <c r="F14" t="s">
        <v>41</v>
      </c>
      <c r="G14" s="4">
        <v>2.0300846460710589E-2</v>
      </c>
      <c r="AC14" t="s">
        <v>81</v>
      </c>
    </row>
    <row r="15" spans="1:29" x14ac:dyDescent="0.35">
      <c r="A15" s="10">
        <v>2019</v>
      </c>
      <c r="B15" s="10" t="s">
        <v>42</v>
      </c>
      <c r="C15" s="11">
        <f>SUM('Extra Sheet '!D22:I24)</f>
        <v>2535.5551</v>
      </c>
      <c r="F15" t="s">
        <v>42</v>
      </c>
      <c r="G15" s="4">
        <v>2.1307832892293453E-2</v>
      </c>
    </row>
    <row r="16" spans="1:29" x14ac:dyDescent="0.35">
      <c r="A16" s="10">
        <v>2019</v>
      </c>
      <c r="B16" s="10" t="s">
        <v>44</v>
      </c>
      <c r="C16" s="11">
        <f>SUM('Extra Sheet '!D23:I25)</f>
        <v>2539.6550999999995</v>
      </c>
      <c r="F16" t="s">
        <v>44</v>
      </c>
      <c r="G16" s="4">
        <v>2.2959290640089131E-2</v>
      </c>
    </row>
    <row r="17" spans="1:7" x14ac:dyDescent="0.35">
      <c r="A17" s="10">
        <v>2019</v>
      </c>
      <c r="B17" s="10" t="s">
        <v>45</v>
      </c>
      <c r="C17" s="11">
        <f>SUM('Extra Sheet '!D24:I26)</f>
        <v>2541.7550999999999</v>
      </c>
      <c r="F17" t="s">
        <v>45</v>
      </c>
      <c r="G17" s="4">
        <v>2.3805159242618883E-2</v>
      </c>
    </row>
    <row r="18" spans="1:7" x14ac:dyDescent="0.35">
      <c r="A18" s="10">
        <v>2020</v>
      </c>
      <c r="B18" s="10" t="s">
        <v>31</v>
      </c>
      <c r="C18" s="11">
        <f>SUM('Extra Sheet '!D25:I27)</f>
        <v>2544.4551000000001</v>
      </c>
      <c r="E18">
        <v>2020</v>
      </c>
      <c r="F18" t="s">
        <v>31</v>
      </c>
      <c r="G18" s="4"/>
    </row>
    <row r="19" spans="1:7" x14ac:dyDescent="0.35">
      <c r="A19" s="10">
        <v>2020</v>
      </c>
      <c r="B19" s="10" t="s">
        <v>34</v>
      </c>
      <c r="C19" s="11">
        <f>SUM('Extra Sheet '!D26:I28)</f>
        <v>2547.4551000000001</v>
      </c>
      <c r="F19" t="s">
        <v>34</v>
      </c>
      <c r="G19" s="4">
        <v>1.1790343637818564E-3</v>
      </c>
    </row>
    <row r="20" spans="1:7" x14ac:dyDescent="0.35">
      <c r="A20" s="10">
        <v>2020</v>
      </c>
      <c r="B20" s="10" t="s">
        <v>35</v>
      </c>
      <c r="C20" s="11">
        <f>SUM('Extra Sheet '!D27:I29)</f>
        <v>2551.3550999999998</v>
      </c>
      <c r="F20" t="s">
        <v>35</v>
      </c>
      <c r="G20" s="4">
        <v>2.7117790366981268E-3</v>
      </c>
    </row>
    <row r="21" spans="1:7" x14ac:dyDescent="0.35">
      <c r="A21" s="10">
        <v>2020</v>
      </c>
      <c r="B21" s="10" t="s">
        <v>36</v>
      </c>
      <c r="C21" s="11">
        <f>SUM('Extra Sheet '!D28:I30)</f>
        <v>2554.7550999999999</v>
      </c>
      <c r="F21" t="s">
        <v>36</v>
      </c>
      <c r="G21" s="4">
        <v>4.0480179823175998E-3</v>
      </c>
    </row>
    <row r="22" spans="1:7" x14ac:dyDescent="0.35">
      <c r="A22" s="10">
        <v>2020</v>
      </c>
      <c r="B22" s="10" t="s">
        <v>37</v>
      </c>
      <c r="C22" s="11">
        <f>SUM('Extra Sheet '!D29:I31)</f>
        <v>2558.7551000000003</v>
      </c>
      <c r="F22" t="s">
        <v>37</v>
      </c>
      <c r="G22" s="4">
        <v>5.6200638006935867E-3</v>
      </c>
    </row>
    <row r="23" spans="1:7" x14ac:dyDescent="0.35">
      <c r="A23" s="10">
        <v>2020</v>
      </c>
      <c r="B23" s="10" t="s">
        <v>38</v>
      </c>
      <c r="C23" s="11">
        <f>SUM('Extra Sheet '!D30:I32)</f>
        <v>2564.3550999999998</v>
      </c>
      <c r="F23" t="s">
        <v>38</v>
      </c>
      <c r="G23" s="4">
        <v>7.8209279464195054E-3</v>
      </c>
    </row>
    <row r="24" spans="1:7" x14ac:dyDescent="0.35">
      <c r="A24" s="10">
        <v>2020</v>
      </c>
      <c r="B24" s="10" t="s">
        <v>39</v>
      </c>
      <c r="C24" s="11">
        <f>SUM('Extra Sheet '!D31:I33)</f>
        <v>2571.9551000000001</v>
      </c>
      <c r="F24" t="s">
        <v>39</v>
      </c>
      <c r="G24" s="4">
        <v>1.0807815001333683E-2</v>
      </c>
    </row>
    <row r="25" spans="1:7" x14ac:dyDescent="0.35">
      <c r="A25" s="10">
        <v>2020</v>
      </c>
      <c r="B25" s="10" t="s">
        <v>40</v>
      </c>
      <c r="C25" s="11">
        <f>SUM('Extra Sheet '!D32:I34)</f>
        <v>2578.7550999999999</v>
      </c>
      <c r="F25" t="s">
        <v>40</v>
      </c>
      <c r="G25" s="4">
        <v>1.3480292892572451E-2</v>
      </c>
    </row>
    <row r="26" spans="1:7" x14ac:dyDescent="0.35">
      <c r="A26" s="10">
        <v>2020</v>
      </c>
      <c r="B26" s="10" t="s">
        <v>41</v>
      </c>
      <c r="C26" s="11">
        <f>SUM('Extra Sheet '!D33:I35)</f>
        <v>2584.6551000000004</v>
      </c>
      <c r="F26" t="s">
        <v>41</v>
      </c>
      <c r="G26" s="4">
        <v>1.5799060474676982E-2</v>
      </c>
    </row>
    <row r="27" spans="1:7" x14ac:dyDescent="0.35">
      <c r="A27" s="10">
        <v>2020</v>
      </c>
      <c r="B27" s="10" t="s">
        <v>42</v>
      </c>
      <c r="C27" s="11">
        <f>SUM('Extra Sheet '!D34:I36)</f>
        <v>2591.7550999999994</v>
      </c>
      <c r="F27" t="s">
        <v>42</v>
      </c>
      <c r="G27" s="4">
        <v>1.858944180229365E-2</v>
      </c>
    </row>
    <row r="28" spans="1:7" x14ac:dyDescent="0.35">
      <c r="A28" s="10">
        <v>2020</v>
      </c>
      <c r="B28" s="10" t="s">
        <v>44</v>
      </c>
      <c r="C28" s="11">
        <f>SUM('Extra Sheet '!D35:I37)</f>
        <v>2598.4551000000001</v>
      </c>
      <c r="F28" t="s">
        <v>44</v>
      </c>
      <c r="G28" s="4">
        <v>2.1222618548073415E-2</v>
      </c>
    </row>
    <row r="29" spans="1:7" x14ac:dyDescent="0.35">
      <c r="A29" s="10">
        <v>2020</v>
      </c>
      <c r="B29" s="10" t="s">
        <v>45</v>
      </c>
      <c r="C29" s="11">
        <f>SUM('Extra Sheet '!D36:I38)</f>
        <v>2609.1550999999999</v>
      </c>
      <c r="F29" t="s">
        <v>45</v>
      </c>
      <c r="G29" s="4">
        <v>2.5427841112228632E-2</v>
      </c>
    </row>
    <row r="30" spans="1:7" x14ac:dyDescent="0.35">
      <c r="A30" s="10">
        <v>2021</v>
      </c>
      <c r="B30" s="10" t="s">
        <v>31</v>
      </c>
      <c r="C30" s="11">
        <f>SUM('Extra Sheet '!D37:I39)</f>
        <v>2617.7550999999999</v>
      </c>
      <c r="E30">
        <v>2021</v>
      </c>
      <c r="F30" t="s">
        <v>31</v>
      </c>
      <c r="G30" s="4"/>
    </row>
    <row r="31" spans="1:7" x14ac:dyDescent="0.35">
      <c r="A31" s="10">
        <v>2021</v>
      </c>
      <c r="B31" s="10" t="s">
        <v>34</v>
      </c>
      <c r="C31" s="11">
        <f>SUM('Extra Sheet '!D38:I40)</f>
        <v>2627.0551</v>
      </c>
      <c r="F31" t="s">
        <v>34</v>
      </c>
      <c r="G31" s="4">
        <v>3.5526623556192032E-3</v>
      </c>
    </row>
    <row r="32" spans="1:7" x14ac:dyDescent="0.35">
      <c r="A32" s="10">
        <v>2021</v>
      </c>
      <c r="B32" s="10" t="s">
        <v>35</v>
      </c>
      <c r="C32" s="11">
        <f>SUM('Extra Sheet '!D39:I41)</f>
        <v>2628.0551000000005</v>
      </c>
      <c r="F32" t="s">
        <v>35</v>
      </c>
      <c r="G32" s="4">
        <v>3.93466906052466E-3</v>
      </c>
    </row>
    <row r="33" spans="1:7" x14ac:dyDescent="0.35">
      <c r="A33" s="10">
        <v>2021</v>
      </c>
      <c r="B33" s="10" t="s">
        <v>36</v>
      </c>
      <c r="C33" s="11">
        <f>SUM('Extra Sheet '!D40:I42)</f>
        <v>2630.1550999999999</v>
      </c>
      <c r="F33" t="s">
        <v>36</v>
      </c>
      <c r="G33" s="4">
        <v>4.7368831408255464E-3</v>
      </c>
    </row>
    <row r="34" spans="1:7" x14ac:dyDescent="0.35">
      <c r="A34" s="10">
        <v>2021</v>
      </c>
      <c r="B34" s="10" t="s">
        <v>37</v>
      </c>
      <c r="C34" s="11">
        <f>SUM('Extra Sheet '!D41:I43)</f>
        <v>2632.3550999999993</v>
      </c>
      <c r="F34" t="s">
        <v>37</v>
      </c>
      <c r="G34" s="4">
        <v>5.5772978916169263E-3</v>
      </c>
    </row>
    <row r="35" spans="1:7" x14ac:dyDescent="0.35">
      <c r="A35" s="10">
        <v>2021</v>
      </c>
      <c r="B35" s="10" t="s">
        <v>38</v>
      </c>
      <c r="C35" s="11">
        <f>SUM('Extra Sheet '!D42:I44)</f>
        <v>2629.7551000000003</v>
      </c>
      <c r="F35" t="s">
        <v>38</v>
      </c>
      <c r="G35" s="4">
        <v>4.5840804588635721E-3</v>
      </c>
    </row>
    <row r="36" spans="1:7" x14ac:dyDescent="0.35">
      <c r="A36" s="10">
        <v>2021</v>
      </c>
      <c r="B36" s="10" t="s">
        <v>39</v>
      </c>
      <c r="C36" s="11">
        <f>SUM('Extra Sheet '!D43:I45)</f>
        <v>2630.9551000000001</v>
      </c>
      <c r="F36" t="s">
        <v>39</v>
      </c>
      <c r="G36" s="4">
        <v>5.0424885047498421E-3</v>
      </c>
    </row>
    <row r="37" spans="1:7" x14ac:dyDescent="0.35">
      <c r="A37" s="10">
        <v>2021</v>
      </c>
      <c r="B37" s="10" t="s">
        <v>40</v>
      </c>
      <c r="C37" s="11">
        <f>SUM('Extra Sheet '!D44:I46)</f>
        <v>2630.2550999999999</v>
      </c>
      <c r="F37" t="s">
        <v>40</v>
      </c>
      <c r="G37" s="4">
        <v>4.7750838113160398E-3</v>
      </c>
    </row>
    <row r="38" spans="1:7" x14ac:dyDescent="0.35">
      <c r="A38" s="10">
        <v>2021</v>
      </c>
      <c r="B38" s="10" t="s">
        <v>41</v>
      </c>
      <c r="C38" s="11">
        <f>SUM('Extra Sheet '!D45:I47)</f>
        <v>2629.4551000000001</v>
      </c>
      <c r="F38" t="s">
        <v>41</v>
      </c>
      <c r="G38" s="4">
        <v>4.4694784473919176E-3</v>
      </c>
    </row>
    <row r="39" spans="1:7" x14ac:dyDescent="0.35">
      <c r="A39" s="10">
        <v>2021</v>
      </c>
      <c r="B39" s="10" t="s">
        <v>42</v>
      </c>
      <c r="C39" s="11">
        <f>SUM('Extra Sheet '!D46:I48)</f>
        <v>2629.6550999999999</v>
      </c>
      <c r="F39" t="s">
        <v>42</v>
      </c>
      <c r="G39" s="4">
        <v>4.5458797883729044E-3</v>
      </c>
    </row>
    <row r="40" spans="1:7" x14ac:dyDescent="0.35">
      <c r="A40" s="10">
        <v>2021</v>
      </c>
      <c r="B40" s="10" t="s">
        <v>44</v>
      </c>
      <c r="C40" s="11">
        <f>SUM('Extra Sheet '!D47:I49)</f>
        <v>2629.1551000000004</v>
      </c>
      <c r="F40" t="s">
        <v>44</v>
      </c>
      <c r="G40" s="4">
        <v>4.3548764359204366E-3</v>
      </c>
    </row>
    <row r="41" spans="1:7" x14ac:dyDescent="0.35">
      <c r="A41" s="10">
        <v>2021</v>
      </c>
      <c r="B41" s="10" t="s">
        <v>45</v>
      </c>
      <c r="C41" s="11">
        <f>SUM('Extra Sheet '!D48:I50)</f>
        <v>2639.3117233766238</v>
      </c>
      <c r="F41" t="s">
        <v>45</v>
      </c>
      <c r="G41" s="4">
        <v>8.2347746649883233E-3</v>
      </c>
    </row>
    <row r="42" spans="1:7" x14ac:dyDescent="0.35">
      <c r="A42" s="10">
        <v>2022</v>
      </c>
      <c r="B42" s="10" t="s">
        <v>31</v>
      </c>
      <c r="C42" s="11">
        <f>SUM('Extra Sheet '!D49:I51)</f>
        <v>2643.5735415584418</v>
      </c>
      <c r="E42">
        <v>2022</v>
      </c>
      <c r="F42" t="s">
        <v>31</v>
      </c>
      <c r="G42" s="4"/>
    </row>
    <row r="43" spans="1:7" x14ac:dyDescent="0.35">
      <c r="A43" s="10">
        <v>2022</v>
      </c>
      <c r="B43" s="10" t="s">
        <v>34</v>
      </c>
      <c r="C43" s="11">
        <f>SUM('Extra Sheet '!D50:I52)</f>
        <v>2642.92471038961</v>
      </c>
      <c r="F43" t="s">
        <v>34</v>
      </c>
      <c r="G43" s="4">
        <v>-2.4543715490859717E-4</v>
      </c>
    </row>
    <row r="44" spans="1:7" x14ac:dyDescent="0.35">
      <c r="A44" s="10">
        <v>2022</v>
      </c>
      <c r="B44" s="10" t="s">
        <v>35</v>
      </c>
      <c r="C44" s="11">
        <f>SUM('Extra Sheet '!D51:I53)</f>
        <v>2615.706562337662</v>
      </c>
      <c r="F44" t="s">
        <v>35</v>
      </c>
      <c r="G44" s="4">
        <v>-1.054140495155341E-2</v>
      </c>
    </row>
    <row r="45" spans="1:7" x14ac:dyDescent="0.35">
      <c r="A45" s="10">
        <v>2022</v>
      </c>
      <c r="B45" s="10" t="s">
        <v>36</v>
      </c>
      <c r="C45" s="11">
        <f>SUM('Extra Sheet '!D52:I54)</f>
        <v>2595.451362337662</v>
      </c>
      <c r="F45" t="s">
        <v>36</v>
      </c>
      <c r="G45" s="4">
        <v>-1.8203457730330729E-2</v>
      </c>
    </row>
    <row r="46" spans="1:7" x14ac:dyDescent="0.35">
      <c r="A46" s="10">
        <v>2022</v>
      </c>
      <c r="B46" s="10" t="s">
        <v>37</v>
      </c>
      <c r="C46" s="11">
        <f>SUM('Extra Sheet '!D53:I55)</f>
        <v>2574.793068831169</v>
      </c>
      <c r="F46" t="s">
        <v>37</v>
      </c>
      <c r="G46" s="4">
        <v>-2.6017991043564948E-2</v>
      </c>
    </row>
    <row r="47" spans="1:7" x14ac:dyDescent="0.35">
      <c r="A47" s="10">
        <v>2022</v>
      </c>
      <c r="B47" s="10" t="s">
        <v>38</v>
      </c>
      <c r="C47" s="11">
        <f>SUM('Extra Sheet '!D54:I56)</f>
        <v>2597.4545935064934</v>
      </c>
      <c r="F47" t="s">
        <v>38</v>
      </c>
      <c r="G47" s="4">
        <v>-1.744568377876874E-2</v>
      </c>
    </row>
    <row r="48" spans="1:7" x14ac:dyDescent="0.35">
      <c r="A48" s="10">
        <v>2022</v>
      </c>
      <c r="B48" s="10" t="s">
        <v>39</v>
      </c>
      <c r="C48" s="11">
        <f>SUM('Extra Sheet '!D55:I57)</f>
        <v>2627.5479753246759</v>
      </c>
      <c r="F48" t="s">
        <v>39</v>
      </c>
      <c r="G48" s="4">
        <v>-6.0620845162183204E-3</v>
      </c>
    </row>
    <row r="49" spans="1:7" x14ac:dyDescent="0.35">
      <c r="A49" s="10">
        <v>2022</v>
      </c>
      <c r="B49" s="10" t="s">
        <v>40</v>
      </c>
      <c r="C49" s="11">
        <f>SUM('Extra Sheet '!D56:I58)</f>
        <v>2657.5551</v>
      </c>
      <c r="F49" t="s">
        <v>40</v>
      </c>
      <c r="G49" s="4">
        <v>5.2888857532277476E-3</v>
      </c>
    </row>
    <row r="50" spans="1:7" x14ac:dyDescent="0.35">
      <c r="A50" s="10">
        <v>2022</v>
      </c>
      <c r="B50" s="10" t="s">
        <v>41</v>
      </c>
      <c r="C50" s="11">
        <f>SUM('Extra Sheet '!D57:I59)</f>
        <v>2657.5551</v>
      </c>
      <c r="F50" t="s">
        <v>41</v>
      </c>
      <c r="G50" s="4">
        <v>5.2888857532277476E-3</v>
      </c>
    </row>
    <row r="51" spans="1:7" x14ac:dyDescent="0.35">
      <c r="A51" s="10">
        <v>2022</v>
      </c>
      <c r="B51" s="10" t="s">
        <v>42</v>
      </c>
      <c r="C51" s="11">
        <f>SUM('Extra Sheet '!D58:I60)</f>
        <v>2657.5551000000005</v>
      </c>
      <c r="F51" t="s">
        <v>42</v>
      </c>
      <c r="G51" s="4">
        <v>5.2888857532279194E-3</v>
      </c>
    </row>
    <row r="52" spans="1:7" x14ac:dyDescent="0.35">
      <c r="A52" s="10">
        <v>2022</v>
      </c>
      <c r="B52" s="10" t="s">
        <v>44</v>
      </c>
      <c r="C52" s="11">
        <f>SUM('Extra Sheet '!D59:I61)</f>
        <v>2657.5551</v>
      </c>
      <c r="F52" t="s">
        <v>44</v>
      </c>
      <c r="G52" s="4">
        <v>5.2888857532277476E-3</v>
      </c>
    </row>
    <row r="53" spans="1:7" x14ac:dyDescent="0.35">
      <c r="A53" s="10">
        <v>2022</v>
      </c>
      <c r="B53" s="10" t="s">
        <v>45</v>
      </c>
      <c r="C53" s="11">
        <f>SUM('Extra Sheet '!D60:I62)</f>
        <v>2666.2551000000003</v>
      </c>
      <c r="F53" t="s">
        <v>45</v>
      </c>
      <c r="G53" s="4">
        <v>8.5798855545313434E-3</v>
      </c>
    </row>
    <row r="54" spans="1:7" x14ac:dyDescent="0.35">
      <c r="E54" t="s">
        <v>60</v>
      </c>
      <c r="G54" s="4"/>
    </row>
  </sheetData>
  <phoneticPr fontId="18" type="noConversion"/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88512-6063-4E62-8638-9987E6CDAF4D}">
  <dimension ref="A1:B27"/>
  <sheetViews>
    <sheetView zoomScale="56" zoomScaleNormal="46" workbookViewId="0">
      <selection activeCell="X18" sqref="X18"/>
    </sheetView>
  </sheetViews>
  <sheetFormatPr defaultRowHeight="14.5" x14ac:dyDescent="0.35"/>
  <cols>
    <col min="1" max="1" width="16.81640625" style="25" customWidth="1"/>
    <col min="2" max="2" width="18.1796875" style="23" customWidth="1"/>
  </cols>
  <sheetData>
    <row r="1" spans="1:2" ht="55" customHeight="1" x14ac:dyDescent="0.35"/>
    <row r="2" spans="1:2" ht="46.5" customHeight="1" x14ac:dyDescent="0.35">
      <c r="A2" s="34" t="s">
        <v>47</v>
      </c>
      <c r="B2" s="35" t="s">
        <v>109</v>
      </c>
    </row>
    <row r="3" spans="1:2" ht="29" x14ac:dyDescent="0.35">
      <c r="A3" s="32" t="s">
        <v>125</v>
      </c>
      <c r="B3" s="33">
        <v>-0.15507525953540544</v>
      </c>
    </row>
    <row r="4" spans="1:2" x14ac:dyDescent="0.35">
      <c r="A4" s="32" t="s">
        <v>126</v>
      </c>
      <c r="B4" s="33">
        <v>5.9204605842993592E-2</v>
      </c>
    </row>
    <row r="5" spans="1:2" x14ac:dyDescent="0.35">
      <c r="A5" s="32" t="s">
        <v>127</v>
      </c>
      <c r="B5" s="33">
        <v>-0.18325081244741612</v>
      </c>
    </row>
    <row r="6" spans="1:2" x14ac:dyDescent="0.35">
      <c r="A6" s="32" t="s">
        <v>128</v>
      </c>
      <c r="B6" s="33">
        <v>4.5464603180878083E-2</v>
      </c>
    </row>
    <row r="7" spans="1:2" x14ac:dyDescent="0.35">
      <c r="A7" s="32" t="s">
        <v>129</v>
      </c>
      <c r="B7" s="33">
        <v>0.35274334611984026</v>
      </c>
    </row>
    <row r="8" spans="1:2" x14ac:dyDescent="0.35">
      <c r="A8" s="32" t="s">
        <v>130</v>
      </c>
      <c r="B8" s="33">
        <v>-0.20144344529330363</v>
      </c>
    </row>
    <row r="9" spans="1:2" ht="29" x14ac:dyDescent="0.35">
      <c r="A9" s="32" t="s">
        <v>131</v>
      </c>
      <c r="B9" s="33">
        <v>-0.10545258643922997</v>
      </c>
    </row>
    <row r="10" spans="1:2" ht="29" x14ac:dyDescent="0.35">
      <c r="A10" s="32" t="s">
        <v>11</v>
      </c>
      <c r="B10" s="33">
        <v>-8.8574999442029928E-2</v>
      </c>
    </row>
    <row r="11" spans="1:2" x14ac:dyDescent="0.35">
      <c r="A11" s="32" t="s">
        <v>132</v>
      </c>
      <c r="B11" s="33">
        <v>6.7246935610585618E-2</v>
      </c>
    </row>
    <row r="12" spans="1:2" ht="29" x14ac:dyDescent="0.35">
      <c r="A12" s="32" t="s">
        <v>13</v>
      </c>
      <c r="B12" s="33">
        <v>0.64339778093481736</v>
      </c>
    </row>
    <row r="13" spans="1:2" ht="29" x14ac:dyDescent="0.35">
      <c r="A13" s="32" t="s">
        <v>133</v>
      </c>
      <c r="B13" s="33">
        <v>0.43387677048637552</v>
      </c>
    </row>
    <row r="14" spans="1:2" ht="29" x14ac:dyDescent="0.35">
      <c r="A14" s="32" t="s">
        <v>15</v>
      </c>
      <c r="B14" s="33">
        <v>-3.4758478069895571E-2</v>
      </c>
    </row>
    <row r="15" spans="1:2" x14ac:dyDescent="0.35">
      <c r="A15" s="32" t="s">
        <v>134</v>
      </c>
      <c r="B15" s="33">
        <v>0.56103644632752903</v>
      </c>
    </row>
    <row r="16" spans="1:2" x14ac:dyDescent="0.35">
      <c r="A16" s="32" t="s">
        <v>135</v>
      </c>
      <c r="B16" s="33">
        <v>0.45913847680403658</v>
      </c>
    </row>
    <row r="17" spans="1:2" x14ac:dyDescent="0.35">
      <c r="A17" s="32" t="s">
        <v>136</v>
      </c>
      <c r="B17" s="33">
        <v>0.40917247320001593</v>
      </c>
    </row>
    <row r="18" spans="1:2" ht="29" x14ac:dyDescent="0.35">
      <c r="A18" s="32" t="s">
        <v>137</v>
      </c>
      <c r="B18" s="33">
        <v>0.45471950965239971</v>
      </c>
    </row>
    <row r="19" spans="1:2" ht="29" x14ac:dyDescent="0.35">
      <c r="A19" s="32" t="s">
        <v>22</v>
      </c>
      <c r="B19" s="33">
        <v>0.35583217872424672</v>
      </c>
    </row>
    <row r="20" spans="1:2" x14ac:dyDescent="0.35">
      <c r="A20" s="32" t="s">
        <v>138</v>
      </c>
      <c r="B20" s="33">
        <v>0.28916827761877351</v>
      </c>
    </row>
    <row r="21" spans="1:2" ht="29" x14ac:dyDescent="0.35">
      <c r="A21" s="32" t="s">
        <v>139</v>
      </c>
      <c r="B21" s="33">
        <v>0.50393466664600217</v>
      </c>
    </row>
    <row r="22" spans="1:2" ht="29" x14ac:dyDescent="0.35">
      <c r="A22" s="32" t="s">
        <v>140</v>
      </c>
      <c r="B22" s="33">
        <v>-0.22286347764442985</v>
      </c>
    </row>
    <row r="23" spans="1:2" x14ac:dyDescent="0.35">
      <c r="A23" s="32" t="s">
        <v>141</v>
      </c>
      <c r="B23" s="33">
        <v>0.42709608306962227</v>
      </c>
    </row>
    <row r="24" spans="1:2" x14ac:dyDescent="0.35">
      <c r="A24" s="32" t="s">
        <v>142</v>
      </c>
      <c r="B24" s="33">
        <v>0.24259638088218632</v>
      </c>
    </row>
    <row r="25" spans="1:2" ht="29" x14ac:dyDescent="0.35">
      <c r="A25" s="32" t="s">
        <v>143</v>
      </c>
      <c r="B25" s="33">
        <v>0.2879023908090162</v>
      </c>
    </row>
    <row r="26" spans="1:2" x14ac:dyDescent="0.35">
      <c r="A26" s="32" t="s">
        <v>144</v>
      </c>
      <c r="B26" s="33">
        <v>0.75485387206983945</v>
      </c>
    </row>
    <row r="27" spans="1:2" x14ac:dyDescent="0.35">
      <c r="A27" s="32" t="s">
        <v>145</v>
      </c>
      <c r="B27" s="33">
        <v>0.28076012625695518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60A9D-1FA6-4F7D-AA33-A77C6C7363BD}">
  <dimension ref="A1:CK219"/>
  <sheetViews>
    <sheetView zoomScale="31" zoomScaleNormal="100" workbookViewId="0">
      <selection activeCell="Q45" sqref="Q45"/>
    </sheetView>
  </sheetViews>
  <sheetFormatPr defaultRowHeight="14.5" x14ac:dyDescent="0.35"/>
  <cols>
    <col min="1" max="1" width="11.54296875" bestFit="1" customWidth="1"/>
    <col min="3" max="3" width="10.08984375" bestFit="1" customWidth="1"/>
    <col min="4" max="4" width="18.81640625" bestFit="1" customWidth="1"/>
    <col min="5" max="5" width="9.1796875" style="2" customWidth="1"/>
    <col min="6" max="6" width="12" bestFit="1" customWidth="1"/>
    <col min="7" max="7" width="26.36328125" bestFit="1" customWidth="1"/>
    <col min="8" max="8" width="15.08984375" customWidth="1"/>
    <col min="9" max="9" width="12.36328125" bestFit="1" customWidth="1"/>
    <col min="12" max="12" width="11.54296875" bestFit="1" customWidth="1"/>
    <col min="15" max="15" width="18.54296875" bestFit="1" customWidth="1"/>
    <col min="26" max="26" width="17.7265625" bestFit="1" customWidth="1"/>
    <col min="27" max="27" width="11.08984375" bestFit="1" customWidth="1"/>
    <col min="33" max="33" width="18.54296875" bestFit="1" customWidth="1"/>
    <col min="34" max="34" width="26" style="2" customWidth="1"/>
    <col min="35" max="35" width="12.26953125" bestFit="1" customWidth="1"/>
    <col min="36" max="36" width="21.36328125" customWidth="1"/>
    <col min="38" max="38" width="12.90625" bestFit="1" customWidth="1"/>
    <col min="39" max="39" width="19.6328125" customWidth="1"/>
    <col min="41" max="41" width="10.1796875" customWidth="1"/>
    <col min="42" max="42" width="16.36328125" customWidth="1"/>
    <col min="44" max="44" width="19.81640625" customWidth="1"/>
    <col min="62" max="62" width="12.6328125" bestFit="1" customWidth="1"/>
    <col min="63" max="63" width="13.453125" customWidth="1"/>
    <col min="64" max="64" width="29.90625" customWidth="1"/>
    <col min="65" max="65" width="11.90625" bestFit="1" customWidth="1"/>
    <col min="66" max="66" width="26.36328125" bestFit="1" customWidth="1"/>
    <col min="67" max="67" width="26.36328125" customWidth="1"/>
    <col min="68" max="68" width="22.90625" customWidth="1"/>
    <col min="69" max="69" width="15.81640625" style="2" customWidth="1"/>
  </cols>
  <sheetData>
    <row r="1" spans="1:69" x14ac:dyDescent="0.35">
      <c r="AD1" t="s">
        <v>0</v>
      </c>
      <c r="AE1" t="s">
        <v>1</v>
      </c>
      <c r="AF1" t="s">
        <v>2</v>
      </c>
      <c r="AG1" t="s">
        <v>3</v>
      </c>
      <c r="AH1" s="2" t="s">
        <v>84</v>
      </c>
      <c r="AI1" t="s">
        <v>4</v>
      </c>
      <c r="AJ1" t="s">
        <v>85</v>
      </c>
      <c r="AK1" t="s">
        <v>5</v>
      </c>
      <c r="AL1" t="s">
        <v>86</v>
      </c>
      <c r="AM1" t="s">
        <v>87</v>
      </c>
      <c r="AN1" t="s">
        <v>6</v>
      </c>
      <c r="AO1" t="s">
        <v>8</v>
      </c>
      <c r="AP1" t="s">
        <v>88</v>
      </c>
      <c r="AQ1" t="s">
        <v>9</v>
      </c>
      <c r="AR1" t="s">
        <v>89</v>
      </c>
      <c r="AS1" t="s">
        <v>10</v>
      </c>
      <c r="AT1" t="s">
        <v>11</v>
      </c>
      <c r="AU1" t="s">
        <v>12</v>
      </c>
      <c r="AV1" t="s">
        <v>13</v>
      </c>
      <c r="AW1" t="s">
        <v>14</v>
      </c>
      <c r="AX1" t="s">
        <v>15</v>
      </c>
      <c r="AY1" t="s">
        <v>7</v>
      </c>
      <c r="AZ1" t="s">
        <v>17</v>
      </c>
      <c r="BA1" t="s">
        <v>18</v>
      </c>
      <c r="BB1" t="s">
        <v>19</v>
      </c>
      <c r="BC1" t="s">
        <v>22</v>
      </c>
      <c r="BD1" t="s">
        <v>20</v>
      </c>
      <c r="BE1" t="s">
        <v>25</v>
      </c>
      <c r="BF1" t="s">
        <v>27</v>
      </c>
      <c r="BG1" t="s">
        <v>23</v>
      </c>
      <c r="BH1" t="s">
        <v>26</v>
      </c>
      <c r="BI1" t="s">
        <v>16</v>
      </c>
      <c r="BJ1" t="s">
        <v>28</v>
      </c>
      <c r="BK1" t="s">
        <v>29</v>
      </c>
      <c r="BM1" t="s">
        <v>21</v>
      </c>
      <c r="BN1" t="s">
        <v>24</v>
      </c>
      <c r="BP1" t="s">
        <v>82</v>
      </c>
      <c r="BQ1" s="2" t="s">
        <v>83</v>
      </c>
    </row>
    <row r="2" spans="1:69" x14ac:dyDescent="0.35">
      <c r="AD2" t="s">
        <v>30</v>
      </c>
      <c r="AE2">
        <v>2021</v>
      </c>
      <c r="AF2" t="s">
        <v>31</v>
      </c>
      <c r="AG2">
        <v>143.4</v>
      </c>
      <c r="AI2">
        <v>187.5</v>
      </c>
      <c r="AK2">
        <v>173.4</v>
      </c>
      <c r="AN2">
        <v>154</v>
      </c>
      <c r="AO2">
        <v>147</v>
      </c>
      <c r="AQ2">
        <v>187.8</v>
      </c>
      <c r="AS2">
        <v>159.5</v>
      </c>
      <c r="AT2">
        <v>113.8</v>
      </c>
      <c r="AU2">
        <v>164.5</v>
      </c>
      <c r="AV2">
        <v>156.1</v>
      </c>
      <c r="AW2">
        <v>164.3</v>
      </c>
      <c r="AX2">
        <v>159.6</v>
      </c>
      <c r="AY2">
        <v>154.80000000000001</v>
      </c>
      <c r="AZ2">
        <v>157.5</v>
      </c>
      <c r="BA2">
        <v>152.4</v>
      </c>
      <c r="BB2">
        <v>156.80000000000001</v>
      </c>
      <c r="BC2">
        <v>153.9</v>
      </c>
      <c r="BD2">
        <v>139.2551</v>
      </c>
      <c r="BE2">
        <v>155.1</v>
      </c>
      <c r="BF2">
        <v>156.19999999999999</v>
      </c>
      <c r="BG2">
        <v>162.5</v>
      </c>
      <c r="BH2">
        <v>163.5</v>
      </c>
      <c r="BI2">
        <v>184.6</v>
      </c>
      <c r="BJ2">
        <v>155.9</v>
      </c>
      <c r="BK2">
        <v>158.5</v>
      </c>
      <c r="BM2">
        <v>150.9</v>
      </c>
      <c r="BN2">
        <v>147.5</v>
      </c>
      <c r="BP2">
        <v>298.39999999999998</v>
      </c>
    </row>
    <row r="3" spans="1:69" x14ac:dyDescent="0.35">
      <c r="AD3" t="s">
        <v>32</v>
      </c>
      <c r="AE3">
        <v>2021</v>
      </c>
      <c r="AF3" t="s">
        <v>31</v>
      </c>
      <c r="AG3">
        <v>148</v>
      </c>
      <c r="AH3" s="2">
        <v>3.2078103207810278</v>
      </c>
      <c r="AI3">
        <v>194.8</v>
      </c>
      <c r="AJ3">
        <v>3.8933333333333398</v>
      </c>
      <c r="AK3">
        <v>178.4</v>
      </c>
      <c r="AL3">
        <v>2.8835063437139561</v>
      </c>
      <c r="AN3">
        <v>154.4</v>
      </c>
      <c r="AO3">
        <v>152.6</v>
      </c>
      <c r="AP3">
        <v>3.8095238095238058</v>
      </c>
      <c r="AQ3">
        <v>206.8</v>
      </c>
      <c r="AR3">
        <v>10.117145899893504</v>
      </c>
      <c r="AS3">
        <v>162.1</v>
      </c>
      <c r="AT3">
        <v>116.3</v>
      </c>
      <c r="AU3">
        <v>163</v>
      </c>
      <c r="AV3">
        <v>145.9</v>
      </c>
      <c r="AW3">
        <v>167.2</v>
      </c>
      <c r="AX3">
        <v>163.4</v>
      </c>
      <c r="AY3">
        <v>144.1</v>
      </c>
      <c r="AZ3">
        <v>152.5</v>
      </c>
      <c r="BA3">
        <v>137.30000000000001</v>
      </c>
      <c r="BB3">
        <v>150.19999999999999</v>
      </c>
      <c r="BC3">
        <v>145.69999999999999</v>
      </c>
      <c r="BD3">
        <v>157.69999999999999</v>
      </c>
      <c r="BE3">
        <v>145.4</v>
      </c>
      <c r="BF3">
        <v>157.69999999999999</v>
      </c>
      <c r="BG3">
        <v>154.1</v>
      </c>
      <c r="BH3">
        <v>156.1</v>
      </c>
      <c r="BI3">
        <v>191.8</v>
      </c>
      <c r="BJ3">
        <v>147.6</v>
      </c>
      <c r="BK3">
        <v>156</v>
      </c>
      <c r="BM3">
        <v>142.9</v>
      </c>
      <c r="BN3">
        <v>136.9</v>
      </c>
      <c r="BP3">
        <v>279.8</v>
      </c>
      <c r="BQ3" s="2">
        <v>-6.2332439678284075</v>
      </c>
    </row>
    <row r="4" spans="1:69" s="6" customFormat="1" x14ac:dyDescent="0.35">
      <c r="A4" t="s">
        <v>0</v>
      </c>
      <c r="B4" t="s">
        <v>1</v>
      </c>
      <c r="C4" t="s">
        <v>2</v>
      </c>
      <c r="D4" t="s">
        <v>15</v>
      </c>
      <c r="E4" s="2" t="s">
        <v>20</v>
      </c>
      <c r="F4" t="s">
        <v>21</v>
      </c>
      <c r="G4" t="s">
        <v>24</v>
      </c>
      <c r="H4" t="s">
        <v>23</v>
      </c>
      <c r="I4" t="s">
        <v>29</v>
      </c>
      <c r="L4" t="s">
        <v>0</v>
      </c>
      <c r="M4" t="s">
        <v>1</v>
      </c>
      <c r="N4" t="s">
        <v>2</v>
      </c>
      <c r="O4" t="s">
        <v>3</v>
      </c>
      <c r="P4" t="s">
        <v>4</v>
      </c>
      <c r="Q4" t="s">
        <v>5</v>
      </c>
      <c r="R4" t="s">
        <v>6</v>
      </c>
      <c r="S4" t="s">
        <v>8</v>
      </c>
      <c r="T4" t="s">
        <v>9</v>
      </c>
      <c r="U4" t="s">
        <v>10</v>
      </c>
      <c r="V4" t="s">
        <v>11</v>
      </c>
      <c r="W4" t="s">
        <v>12</v>
      </c>
      <c r="X4" t="s">
        <v>13</v>
      </c>
      <c r="Y4" t="s">
        <v>14</v>
      </c>
      <c r="Z4" t="s">
        <v>15</v>
      </c>
      <c r="AA4" t="s">
        <v>7</v>
      </c>
      <c r="AD4" t="s">
        <v>33</v>
      </c>
      <c r="AE4">
        <v>2021</v>
      </c>
      <c r="AF4" t="s">
        <v>31</v>
      </c>
      <c r="AG4">
        <v>144.9</v>
      </c>
      <c r="AH4" s="2">
        <v>-2.0945945945945907</v>
      </c>
      <c r="AI4">
        <v>190.1</v>
      </c>
      <c r="AJ4">
        <v>-2.4127310061601728</v>
      </c>
      <c r="AK4">
        <v>175.3</v>
      </c>
      <c r="AL4">
        <v>-1.7376681614349743</v>
      </c>
      <c r="AM4">
        <v>0.25974025974026343</v>
      </c>
      <c r="AN4">
        <v>154.1</v>
      </c>
      <c r="AO4">
        <v>149.6</v>
      </c>
      <c r="AP4">
        <v>-1.9659239842726082</v>
      </c>
      <c r="AQ4">
        <v>194.2</v>
      </c>
      <c r="AR4">
        <v>-6.0928433268858901</v>
      </c>
      <c r="AS4">
        <v>160.4</v>
      </c>
      <c r="AT4">
        <v>114.6</v>
      </c>
      <c r="AU4">
        <v>164</v>
      </c>
      <c r="AV4">
        <v>151.80000000000001</v>
      </c>
      <c r="AW4">
        <v>165.6</v>
      </c>
      <c r="AX4">
        <v>161</v>
      </c>
      <c r="AY4">
        <v>150.9</v>
      </c>
      <c r="AZ4">
        <v>155.5</v>
      </c>
      <c r="BA4">
        <v>146.1</v>
      </c>
      <c r="BB4">
        <v>154.19999999999999</v>
      </c>
      <c r="BC4">
        <v>150</v>
      </c>
      <c r="BD4">
        <v>157.69999999999999</v>
      </c>
      <c r="BE4">
        <v>149.6</v>
      </c>
      <c r="BF4">
        <v>156.80000000000001</v>
      </c>
      <c r="BG4">
        <v>159.30000000000001</v>
      </c>
      <c r="BH4">
        <v>159.19999999999999</v>
      </c>
      <c r="BI4">
        <v>186.5</v>
      </c>
      <c r="BJ4">
        <v>151.9</v>
      </c>
      <c r="BK4">
        <v>157.30000000000001</v>
      </c>
      <c r="BL4"/>
      <c r="BM4">
        <v>147.9</v>
      </c>
      <c r="BN4">
        <v>141.9</v>
      </c>
      <c r="BO4"/>
      <c r="BP4">
        <v>289.8</v>
      </c>
      <c r="BQ4" s="2">
        <v>3.5739814152966405</v>
      </c>
    </row>
    <row r="5" spans="1:69" s="6" customFormat="1" x14ac:dyDescent="0.35">
      <c r="A5" t="s">
        <v>30</v>
      </c>
      <c r="B5">
        <v>2019</v>
      </c>
      <c r="C5" t="s">
        <v>31</v>
      </c>
      <c r="D5">
        <v>137.4</v>
      </c>
      <c r="E5" s="2">
        <v>139.2551</v>
      </c>
      <c r="F5">
        <v>146.19999999999999</v>
      </c>
      <c r="G5">
        <v>128.6</v>
      </c>
      <c r="H5">
        <v>149.6</v>
      </c>
      <c r="I5">
        <v>141</v>
      </c>
      <c r="J5"/>
      <c r="L5" t="s">
        <v>30</v>
      </c>
      <c r="M5">
        <v>2022</v>
      </c>
      <c r="N5" t="s">
        <v>38</v>
      </c>
      <c r="O5">
        <v>153.80000000000001</v>
      </c>
      <c r="P5">
        <v>217.2</v>
      </c>
      <c r="Q5">
        <v>169.6</v>
      </c>
      <c r="R5">
        <v>165.4</v>
      </c>
      <c r="S5">
        <v>165.8</v>
      </c>
      <c r="T5">
        <v>167.3</v>
      </c>
      <c r="U5">
        <v>164.6</v>
      </c>
      <c r="V5">
        <v>119.1</v>
      </c>
      <c r="W5">
        <v>188.9</v>
      </c>
      <c r="X5">
        <v>174.2</v>
      </c>
      <c r="Y5">
        <v>181.9</v>
      </c>
      <c r="Z5">
        <v>172.4</v>
      </c>
      <c r="AA5">
        <v>208.1</v>
      </c>
      <c r="AD5" t="s">
        <v>30</v>
      </c>
      <c r="AE5">
        <v>2021</v>
      </c>
      <c r="AF5" t="s">
        <v>34</v>
      </c>
      <c r="AG5">
        <v>142.80000000000001</v>
      </c>
      <c r="AH5" s="2">
        <v>-1.4492753623188366</v>
      </c>
      <c r="AI5">
        <v>184</v>
      </c>
      <c r="AJ5">
        <v>-3.2088374539715905</v>
      </c>
      <c r="AK5">
        <v>168</v>
      </c>
      <c r="AL5">
        <v>-4.1642897889332637</v>
      </c>
      <c r="AM5">
        <v>-0.19430051813472238</v>
      </c>
      <c r="AN5">
        <v>154.4</v>
      </c>
      <c r="AO5">
        <v>147.80000000000001</v>
      </c>
      <c r="AP5">
        <v>-1.2032085561497212</v>
      </c>
      <c r="AQ5">
        <v>149.69999999999999</v>
      </c>
      <c r="AR5">
        <v>-22.914521112255411</v>
      </c>
      <c r="AS5">
        <v>158.30000000000001</v>
      </c>
      <c r="AT5">
        <v>111.8</v>
      </c>
      <c r="AU5">
        <v>165</v>
      </c>
      <c r="AV5">
        <v>160</v>
      </c>
      <c r="AW5">
        <v>165.8</v>
      </c>
      <c r="AX5">
        <v>154.69999999999999</v>
      </c>
      <c r="AY5">
        <v>163</v>
      </c>
      <c r="AZ5">
        <v>159.1</v>
      </c>
      <c r="BA5">
        <v>153.9</v>
      </c>
      <c r="BB5">
        <v>158.4</v>
      </c>
      <c r="BC5">
        <v>154.80000000000001</v>
      </c>
      <c r="BD5">
        <v>139.2551</v>
      </c>
      <c r="BE5">
        <v>157</v>
      </c>
      <c r="BF5">
        <v>155.19999999999999</v>
      </c>
      <c r="BG5">
        <v>164.3</v>
      </c>
      <c r="BH5">
        <v>163.6</v>
      </c>
      <c r="BI5">
        <v>186.5</v>
      </c>
      <c r="BJ5">
        <v>157.19999999999999</v>
      </c>
      <c r="BK5">
        <v>156.69999999999999</v>
      </c>
      <c r="BL5"/>
      <c r="BM5">
        <v>154.4</v>
      </c>
      <c r="BN5">
        <v>150.19999999999999</v>
      </c>
      <c r="BO5"/>
      <c r="BP5">
        <v>304.60000000000002</v>
      </c>
      <c r="BQ5" s="2">
        <v>5.1069703243616322</v>
      </c>
    </row>
    <row r="6" spans="1:69" s="6" customFormat="1" x14ac:dyDescent="0.35">
      <c r="A6" t="s">
        <v>32</v>
      </c>
      <c r="B6">
        <v>2019</v>
      </c>
      <c r="C6" t="s">
        <v>31</v>
      </c>
      <c r="D6">
        <v>137.30000000000001</v>
      </c>
      <c r="E6" s="2">
        <v>147.69999999999999</v>
      </c>
      <c r="F6">
        <v>128.6</v>
      </c>
      <c r="G6">
        <v>118.6</v>
      </c>
      <c r="H6">
        <v>137.80000000000001</v>
      </c>
      <c r="I6">
        <v>138</v>
      </c>
      <c r="J6"/>
      <c r="L6" t="s">
        <v>32</v>
      </c>
      <c r="M6">
        <v>2022</v>
      </c>
      <c r="N6" t="s">
        <v>38</v>
      </c>
      <c r="O6">
        <v>157.5</v>
      </c>
      <c r="P6">
        <v>223.4</v>
      </c>
      <c r="Q6">
        <v>172.8</v>
      </c>
      <c r="R6">
        <v>166.4</v>
      </c>
      <c r="S6">
        <v>174.1</v>
      </c>
      <c r="T6">
        <v>211.5</v>
      </c>
      <c r="U6">
        <v>163.6</v>
      </c>
      <c r="V6">
        <v>121.4</v>
      </c>
      <c r="W6">
        <v>183.5</v>
      </c>
      <c r="X6">
        <v>159.1</v>
      </c>
      <c r="Y6">
        <v>186.3</v>
      </c>
      <c r="Z6">
        <v>179.3</v>
      </c>
      <c r="AA6">
        <v>188.6</v>
      </c>
      <c r="AD6" t="s">
        <v>32</v>
      </c>
      <c r="AE6">
        <v>2021</v>
      </c>
      <c r="AF6" t="s">
        <v>34</v>
      </c>
      <c r="AG6">
        <v>147.6</v>
      </c>
      <c r="AH6" s="2">
        <v>3.3613445378151141</v>
      </c>
      <c r="AI6">
        <v>191.2</v>
      </c>
      <c r="AJ6">
        <v>3.9130434782608638</v>
      </c>
      <c r="AK6">
        <v>169.9</v>
      </c>
      <c r="AL6">
        <v>1.1309523809523845</v>
      </c>
      <c r="AM6">
        <v>0.19467878001298597</v>
      </c>
      <c r="AN6">
        <v>155.1</v>
      </c>
      <c r="AO6">
        <v>154</v>
      </c>
      <c r="AP6">
        <v>4.1948579161028334</v>
      </c>
      <c r="AQ6">
        <v>180.2</v>
      </c>
      <c r="AR6">
        <v>20.374081496325989</v>
      </c>
      <c r="AS6">
        <v>159.80000000000001</v>
      </c>
      <c r="AT6">
        <v>114.9</v>
      </c>
      <c r="AU6">
        <v>162.5</v>
      </c>
      <c r="AV6">
        <v>149.19999999999999</v>
      </c>
      <c r="AW6">
        <v>169.4</v>
      </c>
      <c r="AX6">
        <v>160.80000000000001</v>
      </c>
      <c r="AY6">
        <v>151.4</v>
      </c>
      <c r="AZ6">
        <v>154.19999999999999</v>
      </c>
      <c r="BA6">
        <v>138.19999999999999</v>
      </c>
      <c r="BB6">
        <v>151.80000000000001</v>
      </c>
      <c r="BC6">
        <v>146.5</v>
      </c>
      <c r="BD6">
        <v>159.80000000000001</v>
      </c>
      <c r="BE6">
        <v>147.30000000000001</v>
      </c>
      <c r="BF6">
        <v>156.69999999999999</v>
      </c>
      <c r="BG6">
        <v>156.30000000000001</v>
      </c>
      <c r="BH6">
        <v>156.6</v>
      </c>
      <c r="BI6">
        <v>193.3</v>
      </c>
      <c r="BJ6">
        <v>149.30000000000001</v>
      </c>
      <c r="BK6">
        <v>156.5</v>
      </c>
      <c r="BL6"/>
      <c r="BM6">
        <v>149.1</v>
      </c>
      <c r="BN6">
        <v>140.5</v>
      </c>
      <c r="BO6"/>
      <c r="BP6">
        <v>289.60000000000002</v>
      </c>
      <c r="BQ6" s="2">
        <v>-4.9244911359159556</v>
      </c>
    </row>
    <row r="7" spans="1:69" s="6" customFormat="1" x14ac:dyDescent="0.35">
      <c r="A7" t="s">
        <v>33</v>
      </c>
      <c r="B7">
        <v>2019</v>
      </c>
      <c r="C7" t="s">
        <v>31</v>
      </c>
      <c r="D7">
        <v>137.4</v>
      </c>
      <c r="E7" s="2">
        <v>147.69999999999999</v>
      </c>
      <c r="F7">
        <v>139.5</v>
      </c>
      <c r="G7">
        <v>123.3</v>
      </c>
      <c r="H7">
        <v>145.1</v>
      </c>
      <c r="I7">
        <v>139.6</v>
      </c>
      <c r="J7"/>
      <c r="L7" t="s">
        <v>33</v>
      </c>
      <c r="M7">
        <v>2022</v>
      </c>
      <c r="N7" t="s">
        <v>38</v>
      </c>
      <c r="O7">
        <v>155</v>
      </c>
      <c r="P7">
        <v>219.4</v>
      </c>
      <c r="Q7">
        <v>170.8</v>
      </c>
      <c r="R7">
        <v>165.8</v>
      </c>
      <c r="S7">
        <v>169.7</v>
      </c>
      <c r="T7">
        <v>182.3</v>
      </c>
      <c r="U7">
        <v>164.3</v>
      </c>
      <c r="V7">
        <v>119.9</v>
      </c>
      <c r="W7">
        <v>187.1</v>
      </c>
      <c r="X7">
        <v>167.9</v>
      </c>
      <c r="Y7">
        <v>183.9</v>
      </c>
      <c r="Z7">
        <v>174.9</v>
      </c>
      <c r="AA7">
        <v>200.9</v>
      </c>
      <c r="AD7" t="s">
        <v>33</v>
      </c>
      <c r="AE7">
        <v>2021</v>
      </c>
      <c r="AF7" t="s">
        <v>34</v>
      </c>
      <c r="AG7">
        <v>144.30000000000001</v>
      </c>
      <c r="AH7" s="2">
        <v>-2.2357723577235658</v>
      </c>
      <c r="AI7">
        <v>186.5</v>
      </c>
      <c r="AJ7">
        <v>-2.4581589958158938</v>
      </c>
      <c r="AK7">
        <v>168.7</v>
      </c>
      <c r="AL7">
        <v>-0.70629782224839144</v>
      </c>
      <c r="AM7">
        <v>0.45336787564766101</v>
      </c>
      <c r="AN7">
        <v>154.69999999999999</v>
      </c>
      <c r="AO7">
        <v>150.69999999999999</v>
      </c>
      <c r="AP7">
        <v>-2.1428571428571503</v>
      </c>
      <c r="AQ7">
        <v>160</v>
      </c>
      <c r="AR7">
        <v>-11.209766925638174</v>
      </c>
      <c r="AS7">
        <v>158.80000000000001</v>
      </c>
      <c r="AT7">
        <v>112.8</v>
      </c>
      <c r="AU7">
        <v>164.2</v>
      </c>
      <c r="AV7">
        <v>155.5</v>
      </c>
      <c r="AW7">
        <v>167.5</v>
      </c>
      <c r="AX7">
        <v>156.9</v>
      </c>
      <c r="AY7">
        <v>158.69999999999999</v>
      </c>
      <c r="AZ7">
        <v>157.19999999999999</v>
      </c>
      <c r="BA7">
        <v>147.4</v>
      </c>
      <c r="BB7">
        <v>155.80000000000001</v>
      </c>
      <c r="BC7">
        <v>150.9</v>
      </c>
      <c r="BD7">
        <v>159.80000000000001</v>
      </c>
      <c r="BE7">
        <v>151.5</v>
      </c>
      <c r="BF7">
        <v>155.80000000000001</v>
      </c>
      <c r="BG7">
        <v>161.30000000000001</v>
      </c>
      <c r="BH7">
        <v>159.5</v>
      </c>
      <c r="BI7">
        <v>188.3</v>
      </c>
      <c r="BJ7">
        <v>153.4</v>
      </c>
      <c r="BK7">
        <v>156.6</v>
      </c>
      <c r="BL7"/>
      <c r="BM7">
        <v>152.4</v>
      </c>
      <c r="BN7">
        <v>145.1</v>
      </c>
      <c r="BO7"/>
      <c r="BP7">
        <v>297.5</v>
      </c>
      <c r="BQ7" s="2">
        <v>2.7279005524861799</v>
      </c>
    </row>
    <row r="8" spans="1:69" s="6" customFormat="1" x14ac:dyDescent="0.35">
      <c r="A8" t="s">
        <v>30</v>
      </c>
      <c r="B8">
        <v>2019</v>
      </c>
      <c r="C8" t="s">
        <v>34</v>
      </c>
      <c r="D8">
        <v>137.19999999999999</v>
      </c>
      <c r="E8" s="2">
        <v>139.2551</v>
      </c>
      <c r="F8">
        <v>145.30000000000001</v>
      </c>
      <c r="G8">
        <v>129.19999999999999</v>
      </c>
      <c r="H8">
        <v>149.9</v>
      </c>
      <c r="I8">
        <v>141</v>
      </c>
      <c r="J8"/>
      <c r="L8" t="s">
        <v>30</v>
      </c>
      <c r="M8">
        <v>2023</v>
      </c>
      <c r="N8" t="s">
        <v>37</v>
      </c>
      <c r="O8">
        <v>173.2</v>
      </c>
      <c r="P8">
        <v>211.5</v>
      </c>
      <c r="Q8">
        <v>171</v>
      </c>
      <c r="R8">
        <v>179.6</v>
      </c>
      <c r="S8">
        <v>169</v>
      </c>
      <c r="T8">
        <v>148.69999999999999</v>
      </c>
      <c r="U8">
        <v>174.9</v>
      </c>
      <c r="V8">
        <v>121.9</v>
      </c>
      <c r="W8">
        <v>221</v>
      </c>
      <c r="X8">
        <v>178.7</v>
      </c>
      <c r="Y8">
        <v>191.1</v>
      </c>
      <c r="Z8">
        <v>176.8</v>
      </c>
      <c r="AA8">
        <v>173.3</v>
      </c>
      <c r="AD8" t="s">
        <v>30</v>
      </c>
      <c r="AE8">
        <v>2021</v>
      </c>
      <c r="AF8" t="s">
        <v>35</v>
      </c>
      <c r="AG8">
        <v>142.5</v>
      </c>
      <c r="AH8" s="2">
        <v>-1.247401247401255</v>
      </c>
      <c r="AI8">
        <v>189.4</v>
      </c>
      <c r="AJ8">
        <v>1.5549597855227912</v>
      </c>
      <c r="AK8">
        <v>163.19999999999999</v>
      </c>
      <c r="AL8">
        <v>-3.2602252519264971</v>
      </c>
      <c r="AM8">
        <v>-0.25789813023855945</v>
      </c>
      <c r="AN8">
        <v>154.5</v>
      </c>
      <c r="AO8">
        <v>150.5</v>
      </c>
      <c r="AP8">
        <v>-0.13271400132713249</v>
      </c>
      <c r="AQ8">
        <v>141</v>
      </c>
      <c r="AR8">
        <v>-11.875</v>
      </c>
      <c r="AS8">
        <v>159.19999999999999</v>
      </c>
      <c r="AT8">
        <v>111.7</v>
      </c>
      <c r="AU8">
        <v>164</v>
      </c>
      <c r="AV8">
        <v>160.6</v>
      </c>
      <c r="AW8">
        <v>166.4</v>
      </c>
      <c r="AX8">
        <v>154.5</v>
      </c>
      <c r="AY8">
        <v>168.2</v>
      </c>
      <c r="AZ8">
        <v>159.6</v>
      </c>
      <c r="BA8">
        <v>154.4</v>
      </c>
      <c r="BB8">
        <v>158.9</v>
      </c>
      <c r="BC8">
        <v>154.80000000000001</v>
      </c>
      <c r="BD8">
        <v>139.2551</v>
      </c>
      <c r="BE8">
        <v>157.80000000000001</v>
      </c>
      <c r="BF8">
        <v>153.1</v>
      </c>
      <c r="BG8">
        <v>164.6</v>
      </c>
      <c r="BH8">
        <v>163.80000000000001</v>
      </c>
      <c r="BI8">
        <v>186.1</v>
      </c>
      <c r="BJ8">
        <v>157.30000000000001</v>
      </c>
      <c r="BK8">
        <v>156.69999999999999</v>
      </c>
      <c r="BL8"/>
      <c r="BM8">
        <v>156</v>
      </c>
      <c r="BN8">
        <v>151.30000000000001</v>
      </c>
      <c r="BO8"/>
      <c r="BP8">
        <v>307.3</v>
      </c>
      <c r="BQ8" s="2">
        <v>3.2941176470588274</v>
      </c>
    </row>
    <row r="9" spans="1:69" s="6" customFormat="1" x14ac:dyDescent="0.35">
      <c r="A9" t="s">
        <v>32</v>
      </c>
      <c r="B9">
        <v>2019</v>
      </c>
      <c r="C9" t="s">
        <v>34</v>
      </c>
      <c r="D9">
        <v>138</v>
      </c>
      <c r="E9" s="2">
        <v>148.5</v>
      </c>
      <c r="F9">
        <v>127.1</v>
      </c>
      <c r="G9">
        <v>119.2</v>
      </c>
      <c r="H9">
        <v>138.5</v>
      </c>
      <c r="I9">
        <v>138.6</v>
      </c>
      <c r="J9"/>
      <c r="L9" t="s">
        <v>32</v>
      </c>
      <c r="M9">
        <v>2023</v>
      </c>
      <c r="N9" t="s">
        <v>37</v>
      </c>
      <c r="O9">
        <v>174.7</v>
      </c>
      <c r="P9">
        <v>219.4</v>
      </c>
      <c r="Q9">
        <v>176.7</v>
      </c>
      <c r="R9">
        <v>179.4</v>
      </c>
      <c r="S9">
        <v>175.8</v>
      </c>
      <c r="T9">
        <v>185</v>
      </c>
      <c r="U9">
        <v>176.9</v>
      </c>
      <c r="V9">
        <v>124.2</v>
      </c>
      <c r="W9">
        <v>211.9</v>
      </c>
      <c r="X9">
        <v>165.9</v>
      </c>
      <c r="Y9">
        <v>197.7</v>
      </c>
      <c r="Z9">
        <v>183.1</v>
      </c>
      <c r="AA9">
        <v>164.4</v>
      </c>
      <c r="AD9" t="s">
        <v>32</v>
      </c>
      <c r="AE9">
        <v>2021</v>
      </c>
      <c r="AF9" t="s">
        <v>35</v>
      </c>
      <c r="AG9">
        <v>147.5</v>
      </c>
      <c r="AH9" s="2">
        <v>3.5087719298245612</v>
      </c>
      <c r="AI9">
        <v>197.5</v>
      </c>
      <c r="AJ9">
        <v>4.2766631467792999</v>
      </c>
      <c r="AK9">
        <v>164.7</v>
      </c>
      <c r="AL9">
        <v>0.91911764705882359</v>
      </c>
      <c r="AM9">
        <v>-0.12928248222365135</v>
      </c>
      <c r="AN9">
        <v>155.6</v>
      </c>
      <c r="AO9">
        <v>157.30000000000001</v>
      </c>
      <c r="AP9">
        <v>4.5182724252491768</v>
      </c>
      <c r="AQ9">
        <v>166.1</v>
      </c>
      <c r="AR9">
        <v>17.801418439716308</v>
      </c>
      <c r="AS9">
        <v>161.1</v>
      </c>
      <c r="AT9">
        <v>114.3</v>
      </c>
      <c r="AU9">
        <v>162.6</v>
      </c>
      <c r="AV9">
        <v>150.69999999999999</v>
      </c>
      <c r="AW9">
        <v>170.3</v>
      </c>
      <c r="AX9">
        <v>160.4</v>
      </c>
      <c r="AY9">
        <v>156.4</v>
      </c>
      <c r="AZ9">
        <v>155.1</v>
      </c>
      <c r="BA9">
        <v>138.69999999999999</v>
      </c>
      <c r="BB9">
        <v>152.6</v>
      </c>
      <c r="BC9">
        <v>147.19999999999999</v>
      </c>
      <c r="BD9">
        <v>159.9</v>
      </c>
      <c r="BE9">
        <v>148.6</v>
      </c>
      <c r="BF9">
        <v>154.9</v>
      </c>
      <c r="BG9">
        <v>156.9</v>
      </c>
      <c r="BH9">
        <v>157.6</v>
      </c>
      <c r="BI9">
        <v>193.5</v>
      </c>
      <c r="BJ9">
        <v>150</v>
      </c>
      <c r="BK9">
        <v>156.9</v>
      </c>
      <c r="BL9"/>
      <c r="BM9">
        <v>154.80000000000001</v>
      </c>
      <c r="BN9">
        <v>141.69999999999999</v>
      </c>
      <c r="BO9"/>
      <c r="BP9">
        <v>296.5</v>
      </c>
      <c r="BQ9" s="2">
        <v>-3.5144809632281193</v>
      </c>
    </row>
    <row r="10" spans="1:69" s="6" customFormat="1" x14ac:dyDescent="0.35">
      <c r="A10" t="s">
        <v>33</v>
      </c>
      <c r="B10">
        <v>2019</v>
      </c>
      <c r="C10" t="s">
        <v>34</v>
      </c>
      <c r="D10">
        <v>137.5</v>
      </c>
      <c r="E10" s="2">
        <v>148.5</v>
      </c>
      <c r="F10">
        <v>138.4</v>
      </c>
      <c r="G10">
        <v>123.9</v>
      </c>
      <c r="H10">
        <v>145.6</v>
      </c>
      <c r="I10">
        <v>139.9</v>
      </c>
      <c r="J10"/>
      <c r="L10" t="s">
        <v>33</v>
      </c>
      <c r="M10">
        <v>2023</v>
      </c>
      <c r="N10" t="s">
        <v>37</v>
      </c>
      <c r="O10">
        <v>173.7</v>
      </c>
      <c r="P10">
        <v>214.3</v>
      </c>
      <c r="Q10">
        <v>173.2</v>
      </c>
      <c r="R10">
        <v>179.5</v>
      </c>
      <c r="S10">
        <v>172.2</v>
      </c>
      <c r="T10">
        <v>161</v>
      </c>
      <c r="U10">
        <v>175.6</v>
      </c>
      <c r="V10">
        <v>122.7</v>
      </c>
      <c r="W10">
        <v>218</v>
      </c>
      <c r="X10">
        <v>173.4</v>
      </c>
      <c r="Y10">
        <v>194.2</v>
      </c>
      <c r="Z10">
        <v>179.1</v>
      </c>
      <c r="AA10">
        <v>170</v>
      </c>
      <c r="AD10" t="s">
        <v>33</v>
      </c>
      <c r="AE10">
        <v>2021</v>
      </c>
      <c r="AF10" t="s">
        <v>35</v>
      </c>
      <c r="AG10">
        <v>144.1</v>
      </c>
      <c r="AH10" s="2">
        <v>-2.3050847457627159</v>
      </c>
      <c r="AI10">
        <v>192.2</v>
      </c>
      <c r="AJ10">
        <v>-2.6835443037974742</v>
      </c>
      <c r="AK10">
        <v>163.80000000000001</v>
      </c>
      <c r="AL10">
        <v>-0.54644808743168016</v>
      </c>
      <c r="AM10">
        <v>0.71197411003235878</v>
      </c>
      <c r="AN10">
        <v>154.9</v>
      </c>
      <c r="AO10">
        <v>153.69999999999999</v>
      </c>
      <c r="AP10">
        <v>-2.2886204704386666</v>
      </c>
      <c r="AQ10">
        <v>149.5</v>
      </c>
      <c r="AR10">
        <v>-9.9939795304033687</v>
      </c>
      <c r="AS10">
        <v>159.80000000000001</v>
      </c>
      <c r="AT10">
        <v>112.6</v>
      </c>
      <c r="AU10">
        <v>163.5</v>
      </c>
      <c r="AV10">
        <v>156.5</v>
      </c>
      <c r="AW10">
        <v>168.2</v>
      </c>
      <c r="AX10">
        <v>156.69999999999999</v>
      </c>
      <c r="AY10">
        <v>163.9</v>
      </c>
      <c r="AZ10">
        <v>157.80000000000001</v>
      </c>
      <c r="BA10">
        <v>147.9</v>
      </c>
      <c r="BB10">
        <v>156.4</v>
      </c>
      <c r="BC10">
        <v>151.19999999999999</v>
      </c>
      <c r="BD10">
        <v>159.9</v>
      </c>
      <c r="BE10">
        <v>152.6</v>
      </c>
      <c r="BF10">
        <v>153.80000000000001</v>
      </c>
      <c r="BG10">
        <v>161.69999999999999</v>
      </c>
      <c r="BH10">
        <v>160.19999999999999</v>
      </c>
      <c r="BI10">
        <v>188.1</v>
      </c>
      <c r="BJ10">
        <v>153.80000000000001</v>
      </c>
      <c r="BK10">
        <v>156.80000000000001</v>
      </c>
      <c r="BL10"/>
      <c r="BM10">
        <v>155.5</v>
      </c>
      <c r="BN10">
        <v>146.19999999999999</v>
      </c>
      <c r="BO10"/>
      <c r="BP10">
        <v>301.7</v>
      </c>
      <c r="BQ10" s="2">
        <v>1.7537942664418174</v>
      </c>
    </row>
    <row r="11" spans="1:69" s="6" customFormat="1" x14ac:dyDescent="0.35">
      <c r="A11" t="s">
        <v>30</v>
      </c>
      <c r="B11">
        <v>2019</v>
      </c>
      <c r="C11" t="s">
        <v>35</v>
      </c>
      <c r="D11">
        <v>137.30000000000001</v>
      </c>
      <c r="E11" s="2">
        <v>139.2551</v>
      </c>
      <c r="F11">
        <v>146.4</v>
      </c>
      <c r="G11">
        <v>129.9</v>
      </c>
      <c r="H11">
        <v>150.4</v>
      </c>
      <c r="I11">
        <v>141.19999999999999</v>
      </c>
      <c r="J11"/>
      <c r="AD11" t="s">
        <v>30</v>
      </c>
      <c r="AE11">
        <v>2021</v>
      </c>
      <c r="AF11" t="s">
        <v>36</v>
      </c>
      <c r="AG11">
        <v>142.69999999999999</v>
      </c>
      <c r="AH11" s="2">
        <v>-0.9715475364330366</v>
      </c>
      <c r="AI11">
        <v>195.5</v>
      </c>
      <c r="AJ11">
        <v>1.7169614984391317</v>
      </c>
      <c r="AK11">
        <v>163.4</v>
      </c>
      <c r="AL11">
        <v>-0.24420024420024766</v>
      </c>
      <c r="AM11">
        <v>-0.44987146529562255</v>
      </c>
      <c r="AN11">
        <v>155</v>
      </c>
      <c r="AO11">
        <v>160.6</v>
      </c>
      <c r="AP11">
        <v>4.4892648015614878</v>
      </c>
      <c r="AQ11">
        <v>135.1</v>
      </c>
      <c r="AR11">
        <v>-9.6321070234113755</v>
      </c>
      <c r="AS11">
        <v>161.1</v>
      </c>
      <c r="AT11">
        <v>112.2</v>
      </c>
      <c r="AU11">
        <v>164.4</v>
      </c>
      <c r="AV11">
        <v>161.9</v>
      </c>
      <c r="AW11">
        <v>166.8</v>
      </c>
      <c r="AX11">
        <v>155.6</v>
      </c>
      <c r="AY11">
        <v>175.2</v>
      </c>
      <c r="AZ11">
        <v>160.69999999999999</v>
      </c>
      <c r="BA11">
        <v>155.1</v>
      </c>
      <c r="BB11">
        <v>159.9</v>
      </c>
      <c r="BC11">
        <v>155.5</v>
      </c>
      <c r="BD11">
        <v>139.2551</v>
      </c>
      <c r="BE11">
        <v>158.6</v>
      </c>
      <c r="BF11">
        <v>154.6</v>
      </c>
      <c r="BG11">
        <v>165.3</v>
      </c>
      <c r="BH11">
        <v>164.1</v>
      </c>
      <c r="BI11">
        <v>186.8</v>
      </c>
      <c r="BJ11">
        <v>158</v>
      </c>
      <c r="BK11">
        <v>157.6</v>
      </c>
      <c r="BL11"/>
      <c r="BM11">
        <v>156</v>
      </c>
      <c r="BN11">
        <v>151.69999999999999</v>
      </c>
      <c r="BO11"/>
      <c r="BP11">
        <v>307.7</v>
      </c>
      <c r="BQ11" s="2">
        <v>1.9887305270135898</v>
      </c>
    </row>
    <row r="12" spans="1:69" s="6" customFormat="1" x14ac:dyDescent="0.35">
      <c r="A12" t="s">
        <v>32</v>
      </c>
      <c r="B12">
        <v>2019</v>
      </c>
      <c r="C12" t="s">
        <v>35</v>
      </c>
      <c r="D12">
        <v>139.6</v>
      </c>
      <c r="E12" s="2">
        <v>149</v>
      </c>
      <c r="F12">
        <v>128.80000000000001</v>
      </c>
      <c r="G12">
        <v>119.9</v>
      </c>
      <c r="H12">
        <v>139.19999999999999</v>
      </c>
      <c r="I12">
        <v>139.5</v>
      </c>
      <c r="J12"/>
      <c r="AD12" t="s">
        <v>32</v>
      </c>
      <c r="AE12">
        <v>2021</v>
      </c>
      <c r="AF12" t="s">
        <v>36</v>
      </c>
      <c r="AG12">
        <v>147.6</v>
      </c>
      <c r="AH12" s="2">
        <v>3.4337771548703615</v>
      </c>
      <c r="AI12">
        <v>202.5</v>
      </c>
      <c r="AJ12">
        <v>3.5805626598465472</v>
      </c>
      <c r="AK12">
        <v>166.4</v>
      </c>
      <c r="AL12">
        <v>1.8359853121175032</v>
      </c>
      <c r="AM12">
        <v>6.455777921239142E-2</v>
      </c>
      <c r="AN12">
        <v>156</v>
      </c>
      <c r="AO12">
        <v>168.8</v>
      </c>
      <c r="AP12">
        <v>5.1058530510585411</v>
      </c>
      <c r="AQ12">
        <v>161.6</v>
      </c>
      <c r="AR12">
        <v>19.615099925980754</v>
      </c>
      <c r="AS12">
        <v>162.80000000000001</v>
      </c>
      <c r="AT12">
        <v>114.8</v>
      </c>
      <c r="AU12">
        <v>162.80000000000001</v>
      </c>
      <c r="AV12">
        <v>151.5</v>
      </c>
      <c r="AW12">
        <v>171.4</v>
      </c>
      <c r="AX12">
        <v>162</v>
      </c>
      <c r="AY12">
        <v>161.4</v>
      </c>
      <c r="AZ12">
        <v>155.9</v>
      </c>
      <c r="BA12">
        <v>139.30000000000001</v>
      </c>
      <c r="BB12">
        <v>153.4</v>
      </c>
      <c r="BC12">
        <v>147.6</v>
      </c>
      <c r="BD12">
        <v>161.4</v>
      </c>
      <c r="BE12">
        <v>149.1</v>
      </c>
      <c r="BF12">
        <v>156.6</v>
      </c>
      <c r="BG12">
        <v>157.5</v>
      </c>
      <c r="BH12">
        <v>157.6</v>
      </c>
      <c r="BI12">
        <v>194.4</v>
      </c>
      <c r="BJ12">
        <v>150.5</v>
      </c>
      <c r="BK12">
        <v>158</v>
      </c>
      <c r="BL12"/>
      <c r="BM12">
        <v>154.9</v>
      </c>
      <c r="BN12">
        <v>142.1</v>
      </c>
      <c r="BO12"/>
      <c r="BP12">
        <v>297</v>
      </c>
      <c r="BQ12" s="2">
        <v>-3.4774130646733798</v>
      </c>
    </row>
    <row r="13" spans="1:69" x14ac:dyDescent="0.35">
      <c r="A13" t="s">
        <v>33</v>
      </c>
      <c r="B13">
        <v>2019</v>
      </c>
      <c r="C13" t="s">
        <v>35</v>
      </c>
      <c r="D13">
        <v>138.1</v>
      </c>
      <c r="E13" s="2">
        <v>149</v>
      </c>
      <c r="F13">
        <v>139.69999999999999</v>
      </c>
      <c r="G13">
        <v>124.6</v>
      </c>
      <c r="H13">
        <v>146.19999999999999</v>
      </c>
      <c r="I13">
        <v>140.4</v>
      </c>
      <c r="AD13" t="s">
        <v>33</v>
      </c>
      <c r="AE13">
        <v>2021</v>
      </c>
      <c r="AF13" t="s">
        <v>36</v>
      </c>
      <c r="AG13">
        <v>144.30000000000001</v>
      </c>
      <c r="AH13" s="2">
        <v>-2.2357723577235658</v>
      </c>
      <c r="AI13">
        <v>198</v>
      </c>
      <c r="AJ13">
        <v>-2.2222222222222223</v>
      </c>
      <c r="AK13">
        <v>164.6</v>
      </c>
      <c r="AL13">
        <v>-1.081730769230776</v>
      </c>
      <c r="AM13">
        <v>0.64516129032258063</v>
      </c>
      <c r="AN13">
        <v>155.4</v>
      </c>
      <c r="AO13">
        <v>164.4</v>
      </c>
      <c r="AP13">
        <v>-2.6066350710900505</v>
      </c>
      <c r="AQ13">
        <v>144.1</v>
      </c>
      <c r="AR13">
        <v>-10.829207920792079</v>
      </c>
      <c r="AS13">
        <v>161.69999999999999</v>
      </c>
      <c r="AT13">
        <v>113.1</v>
      </c>
      <c r="AU13">
        <v>163.9</v>
      </c>
      <c r="AV13">
        <v>157.6</v>
      </c>
      <c r="AW13">
        <v>168.9</v>
      </c>
      <c r="AX13">
        <v>158</v>
      </c>
      <c r="AY13">
        <v>170.1</v>
      </c>
      <c r="AZ13">
        <v>158.80000000000001</v>
      </c>
      <c r="BA13">
        <v>148.5</v>
      </c>
      <c r="BB13">
        <v>157.30000000000001</v>
      </c>
      <c r="BC13">
        <v>151.80000000000001</v>
      </c>
      <c r="BD13">
        <v>161.4</v>
      </c>
      <c r="BE13">
        <v>153.19999999999999</v>
      </c>
      <c r="BF13">
        <v>155.4</v>
      </c>
      <c r="BG13">
        <v>162.30000000000001</v>
      </c>
      <c r="BH13">
        <v>160.30000000000001</v>
      </c>
      <c r="BI13">
        <v>188.8</v>
      </c>
      <c r="BJ13">
        <v>154.4</v>
      </c>
      <c r="BK13">
        <v>157.80000000000001</v>
      </c>
      <c r="BM13">
        <v>155.6</v>
      </c>
      <c r="BN13">
        <v>146.6</v>
      </c>
      <c r="BP13">
        <v>302.2</v>
      </c>
      <c r="BQ13" s="2">
        <v>1.7508417508417469</v>
      </c>
    </row>
    <row r="14" spans="1:69" x14ac:dyDescent="0.35">
      <c r="A14" t="s">
        <v>30</v>
      </c>
      <c r="B14">
        <v>2019</v>
      </c>
      <c r="C14" t="s">
        <v>76</v>
      </c>
      <c r="D14" s="2">
        <v>143.46363636363637</v>
      </c>
      <c r="E14" s="2">
        <v>139.25510000000003</v>
      </c>
      <c r="F14" s="2">
        <v>147.15454545454548</v>
      </c>
      <c r="G14" s="2">
        <v>131.0090909090909</v>
      </c>
      <c r="H14" s="2">
        <v>152.18181818181822</v>
      </c>
      <c r="I14" s="2">
        <v>145.18181818181819</v>
      </c>
      <c r="R14" s="2"/>
      <c r="AD14" t="s">
        <v>30</v>
      </c>
      <c r="AE14">
        <v>2021</v>
      </c>
      <c r="AF14" t="s">
        <v>37</v>
      </c>
      <c r="AG14">
        <v>145.1</v>
      </c>
      <c r="AH14" s="2">
        <v>0.55440055440054248</v>
      </c>
      <c r="AI14">
        <v>198.5</v>
      </c>
      <c r="AJ14">
        <v>0.25252525252525254</v>
      </c>
      <c r="AK14">
        <v>168.6</v>
      </c>
      <c r="AL14">
        <v>2.4301336573511545</v>
      </c>
      <c r="AM14">
        <v>-0.38461538461538097</v>
      </c>
      <c r="AN14">
        <v>155.80000000000001</v>
      </c>
      <c r="AO14">
        <v>162.30000000000001</v>
      </c>
      <c r="AP14">
        <v>-1.2773722627737192</v>
      </c>
      <c r="AQ14">
        <v>138.4</v>
      </c>
      <c r="AR14">
        <v>-3.9555863983344821</v>
      </c>
      <c r="AS14">
        <v>165.1</v>
      </c>
      <c r="AT14">
        <v>114.3</v>
      </c>
      <c r="AU14">
        <v>169.7</v>
      </c>
      <c r="AV14">
        <v>164.6</v>
      </c>
      <c r="AW14">
        <v>169.8</v>
      </c>
      <c r="AX14">
        <v>158.69999999999999</v>
      </c>
      <c r="AY14">
        <v>184.4</v>
      </c>
      <c r="AZ14">
        <v>165.3</v>
      </c>
      <c r="BA14">
        <v>160.6</v>
      </c>
      <c r="BB14">
        <v>164.5</v>
      </c>
      <c r="BC14">
        <v>158.80000000000001</v>
      </c>
      <c r="BD14">
        <v>139.2551</v>
      </c>
      <c r="BE14">
        <v>160</v>
      </c>
      <c r="BF14">
        <v>159.30000000000001</v>
      </c>
      <c r="BG14">
        <v>169.1</v>
      </c>
      <c r="BH14">
        <v>167.6</v>
      </c>
      <c r="BI14">
        <v>189.6</v>
      </c>
      <c r="BJ14">
        <v>161.1</v>
      </c>
      <c r="BK14">
        <v>161.1</v>
      </c>
      <c r="BM14">
        <v>161.69999999999999</v>
      </c>
      <c r="BN14">
        <v>153.19999999999999</v>
      </c>
      <c r="BP14">
        <v>314.89999999999998</v>
      </c>
      <c r="BQ14" s="2">
        <v>4.2025148908007903</v>
      </c>
    </row>
    <row r="15" spans="1:69" x14ac:dyDescent="0.35">
      <c r="A15" t="s">
        <v>49</v>
      </c>
      <c r="B15">
        <v>2019</v>
      </c>
      <c r="C15" t="s">
        <v>76</v>
      </c>
      <c r="D15" s="2">
        <v>146.58181818181816</v>
      </c>
      <c r="E15" s="2">
        <v>150.76363636363635</v>
      </c>
      <c r="F15" s="2">
        <v>128.92727272727274</v>
      </c>
      <c r="G15" s="2">
        <v>120.76363636363637</v>
      </c>
      <c r="H15" s="2">
        <v>140.74545454545455</v>
      </c>
      <c r="I15" s="2">
        <v>143.01818181818183</v>
      </c>
      <c r="AD15" t="s">
        <v>32</v>
      </c>
      <c r="AE15">
        <v>2021</v>
      </c>
      <c r="AF15" t="s">
        <v>37</v>
      </c>
      <c r="AG15">
        <v>148.80000000000001</v>
      </c>
      <c r="AH15" s="2">
        <v>2.5499655410062143</v>
      </c>
      <c r="AI15">
        <v>204.3</v>
      </c>
      <c r="AJ15">
        <v>2.9219143576826254</v>
      </c>
      <c r="AK15">
        <v>173</v>
      </c>
      <c r="AL15">
        <v>2.6097271648873108</v>
      </c>
      <c r="AM15">
        <v>0.25740025740026101</v>
      </c>
      <c r="AN15">
        <v>156.5</v>
      </c>
      <c r="AO15">
        <v>172.5</v>
      </c>
      <c r="AP15">
        <v>6.2846580406654269</v>
      </c>
      <c r="AQ15">
        <v>166.5</v>
      </c>
      <c r="AR15">
        <v>20.303468208092482</v>
      </c>
      <c r="AS15">
        <v>165.9</v>
      </c>
      <c r="AT15">
        <v>115.9</v>
      </c>
      <c r="AU15">
        <v>165.2</v>
      </c>
      <c r="AV15">
        <v>152</v>
      </c>
      <c r="AW15">
        <v>171.1</v>
      </c>
      <c r="AX15">
        <v>164.2</v>
      </c>
      <c r="AY15">
        <v>168.8</v>
      </c>
      <c r="AZ15">
        <v>156.5</v>
      </c>
      <c r="BA15">
        <v>140.19999999999999</v>
      </c>
      <c r="BB15">
        <v>154.1</v>
      </c>
      <c r="BC15">
        <v>150.1</v>
      </c>
      <c r="BD15">
        <v>161.6</v>
      </c>
      <c r="BE15">
        <v>152.6</v>
      </c>
      <c r="BF15">
        <v>157.5</v>
      </c>
      <c r="BG15">
        <v>160.4</v>
      </c>
      <c r="BH15">
        <v>156.6</v>
      </c>
      <c r="BI15">
        <v>198.2</v>
      </c>
      <c r="BJ15">
        <v>152.30000000000001</v>
      </c>
      <c r="BK15">
        <v>159.5</v>
      </c>
      <c r="BM15">
        <v>155.5</v>
      </c>
      <c r="BN15">
        <v>145</v>
      </c>
      <c r="BP15">
        <v>300.5</v>
      </c>
      <c r="BQ15" s="2">
        <v>-4.5728802794537877</v>
      </c>
    </row>
    <row r="16" spans="1:69" x14ac:dyDescent="0.35">
      <c r="A16" t="s">
        <v>75</v>
      </c>
      <c r="B16">
        <v>2019</v>
      </c>
      <c r="C16" t="s">
        <v>76</v>
      </c>
      <c r="D16" s="2">
        <v>144.6090909090909</v>
      </c>
      <c r="E16" s="2">
        <v>150.76363636363635</v>
      </c>
      <c r="F16" s="2">
        <v>140.24545454545452</v>
      </c>
      <c r="G16" s="2">
        <v>125.59090909090907</v>
      </c>
      <c r="H16" s="2">
        <v>147.84545454545457</v>
      </c>
      <c r="I16" s="2">
        <v>144.18181818181819</v>
      </c>
      <c r="AD16" t="s">
        <v>33</v>
      </c>
      <c r="AE16">
        <v>2021</v>
      </c>
      <c r="AF16" t="s">
        <v>37</v>
      </c>
      <c r="AG16">
        <v>146.30000000000001</v>
      </c>
      <c r="AH16" s="2">
        <v>-1.6801075268817203</v>
      </c>
      <c r="AI16">
        <v>200.5</v>
      </c>
      <c r="AJ16">
        <v>-1.8600097895252137</v>
      </c>
      <c r="AK16">
        <v>170.3</v>
      </c>
      <c r="AL16">
        <v>-1.5606936416184907</v>
      </c>
      <c r="AM16">
        <v>0.44929396662386939</v>
      </c>
      <c r="AN16">
        <v>156.1</v>
      </c>
      <c r="AO16">
        <v>167.1</v>
      </c>
      <c r="AP16">
        <v>-3.1304347826086989</v>
      </c>
      <c r="AQ16">
        <v>147.9</v>
      </c>
      <c r="AR16">
        <v>-11.171171171171167</v>
      </c>
      <c r="AS16">
        <v>165.4</v>
      </c>
      <c r="AT16">
        <v>114.8</v>
      </c>
      <c r="AU16">
        <v>168.2</v>
      </c>
      <c r="AV16">
        <v>159.30000000000001</v>
      </c>
      <c r="AW16">
        <v>170.4</v>
      </c>
      <c r="AX16">
        <v>160.69999999999999</v>
      </c>
      <c r="AY16">
        <v>178.7</v>
      </c>
      <c r="AZ16">
        <v>161.80000000000001</v>
      </c>
      <c r="BA16">
        <v>152.1</v>
      </c>
      <c r="BB16">
        <v>160.4</v>
      </c>
      <c r="BC16">
        <v>154.69999999999999</v>
      </c>
      <c r="BD16">
        <v>161.6</v>
      </c>
      <c r="BE16">
        <v>155.80000000000001</v>
      </c>
      <c r="BF16">
        <v>158.6</v>
      </c>
      <c r="BG16">
        <v>165.8</v>
      </c>
      <c r="BH16">
        <v>161.19999999999999</v>
      </c>
      <c r="BI16">
        <v>191.9</v>
      </c>
      <c r="BJ16">
        <v>156.80000000000001</v>
      </c>
      <c r="BK16">
        <v>160.4</v>
      </c>
      <c r="BM16">
        <v>159.4</v>
      </c>
      <c r="BN16">
        <v>148.9</v>
      </c>
      <c r="BP16">
        <v>308.3</v>
      </c>
      <c r="BQ16" s="2">
        <v>2.5956738768718837</v>
      </c>
    </row>
    <row r="17" spans="1:69" x14ac:dyDescent="0.35">
      <c r="A17" t="s">
        <v>30</v>
      </c>
      <c r="B17">
        <v>2019</v>
      </c>
      <c r="C17" t="s">
        <v>37</v>
      </c>
      <c r="D17">
        <v>139.19999999999999</v>
      </c>
      <c r="E17" s="2">
        <v>139.2551</v>
      </c>
      <c r="F17">
        <v>146.9</v>
      </c>
      <c r="G17">
        <v>130.19999999999999</v>
      </c>
      <c r="H17">
        <v>151.30000000000001</v>
      </c>
      <c r="I17">
        <v>142.4</v>
      </c>
      <c r="AD17" t="s">
        <v>30</v>
      </c>
      <c r="AE17">
        <v>2021</v>
      </c>
      <c r="AF17" t="s">
        <v>38</v>
      </c>
      <c r="AG17">
        <v>145.6</v>
      </c>
      <c r="AH17" s="2">
        <v>-0.4784688995215427</v>
      </c>
      <c r="AI17">
        <v>200.1</v>
      </c>
      <c r="AJ17">
        <v>-0.19950124688279586</v>
      </c>
      <c r="AK17">
        <v>179.3</v>
      </c>
      <c r="AL17">
        <v>5.2847915443335287</v>
      </c>
      <c r="AM17">
        <v>-0.25559105431310269</v>
      </c>
      <c r="AN17">
        <v>156.1</v>
      </c>
      <c r="AO17">
        <v>158.6</v>
      </c>
      <c r="AP17">
        <v>-5.0867743865948531</v>
      </c>
      <c r="AQ17">
        <v>144.69999999999999</v>
      </c>
      <c r="AR17">
        <v>-2.1636240703177938</v>
      </c>
      <c r="AS17">
        <v>165.5</v>
      </c>
      <c r="AT17">
        <v>114.6</v>
      </c>
      <c r="AU17">
        <v>170</v>
      </c>
      <c r="AV17">
        <v>165.5</v>
      </c>
      <c r="AW17">
        <v>171.7</v>
      </c>
      <c r="AX17">
        <v>160.5</v>
      </c>
      <c r="AY17">
        <v>190.4</v>
      </c>
      <c r="AZ17">
        <v>165.3</v>
      </c>
      <c r="BA17">
        <v>159.9</v>
      </c>
      <c r="BB17">
        <v>164.6</v>
      </c>
      <c r="BC17">
        <v>159.19999999999999</v>
      </c>
      <c r="BD17">
        <v>139.2551</v>
      </c>
      <c r="BE17">
        <v>160.4</v>
      </c>
      <c r="BF17">
        <v>159.4</v>
      </c>
      <c r="BG17">
        <v>169.7</v>
      </c>
      <c r="BH17">
        <v>166.8</v>
      </c>
      <c r="BI17">
        <v>189.1</v>
      </c>
      <c r="BJ17">
        <v>161.5</v>
      </c>
      <c r="BK17">
        <v>162.1</v>
      </c>
      <c r="BM17">
        <v>162.1</v>
      </c>
      <c r="BN17">
        <v>154.19999999999999</v>
      </c>
      <c r="BP17">
        <v>316.29999999999995</v>
      </c>
      <c r="BQ17" s="2">
        <v>2.594875121634753</v>
      </c>
    </row>
    <row r="18" spans="1:69" x14ac:dyDescent="0.35">
      <c r="A18" t="s">
        <v>32</v>
      </c>
      <c r="B18">
        <v>2019</v>
      </c>
      <c r="C18" t="s">
        <v>37</v>
      </c>
      <c r="D18">
        <v>143.80000000000001</v>
      </c>
      <c r="E18" s="2">
        <v>150.1</v>
      </c>
      <c r="F18">
        <v>129.4</v>
      </c>
      <c r="G18">
        <v>120.1</v>
      </c>
      <c r="H18">
        <v>139.80000000000001</v>
      </c>
      <c r="I18">
        <v>141.5</v>
      </c>
      <c r="AD18" t="s">
        <v>32</v>
      </c>
      <c r="AE18">
        <v>2021</v>
      </c>
      <c r="AF18" t="s">
        <v>38</v>
      </c>
      <c r="AG18">
        <v>149.19999999999999</v>
      </c>
      <c r="AH18" s="2">
        <v>2.4725274725274686</v>
      </c>
      <c r="AI18">
        <v>205.5</v>
      </c>
      <c r="AJ18">
        <v>2.6986506746626717</v>
      </c>
      <c r="AK18">
        <v>182.8</v>
      </c>
      <c r="AL18">
        <v>1.9520356943669825</v>
      </c>
      <c r="AM18">
        <v>0</v>
      </c>
      <c r="AN18">
        <v>156.5</v>
      </c>
      <c r="AO18">
        <v>171.5</v>
      </c>
      <c r="AP18">
        <v>8.1336696090794494</v>
      </c>
      <c r="AQ18">
        <v>176.2</v>
      </c>
      <c r="AR18">
        <v>21.76917760884589</v>
      </c>
      <c r="AS18">
        <v>166.9</v>
      </c>
      <c r="AT18">
        <v>116.1</v>
      </c>
      <c r="AU18">
        <v>165.5</v>
      </c>
      <c r="AV18">
        <v>152.30000000000001</v>
      </c>
      <c r="AW18">
        <v>173.3</v>
      </c>
      <c r="AX18">
        <v>166.2</v>
      </c>
      <c r="AY18">
        <v>172.2</v>
      </c>
      <c r="AZ18">
        <v>157.30000000000001</v>
      </c>
      <c r="BA18">
        <v>140.5</v>
      </c>
      <c r="BB18">
        <v>154.80000000000001</v>
      </c>
      <c r="BC18">
        <v>149.80000000000001</v>
      </c>
      <c r="BD18">
        <v>160.5</v>
      </c>
      <c r="BE18">
        <v>150.69999999999999</v>
      </c>
      <c r="BF18">
        <v>158</v>
      </c>
      <c r="BG18">
        <v>160.80000000000001</v>
      </c>
      <c r="BH18">
        <v>158.1</v>
      </c>
      <c r="BI18">
        <v>195.6</v>
      </c>
      <c r="BJ18">
        <v>153.4</v>
      </c>
      <c r="BK18">
        <v>160.4</v>
      </c>
      <c r="BM18">
        <v>156.1</v>
      </c>
      <c r="BN18">
        <v>147.5</v>
      </c>
      <c r="BP18">
        <v>303.60000000000002</v>
      </c>
      <c r="BQ18" s="2">
        <v>-4.0151754663294135</v>
      </c>
    </row>
    <row r="19" spans="1:69" x14ac:dyDescent="0.35">
      <c r="A19" t="s">
        <v>33</v>
      </c>
      <c r="B19">
        <v>2019</v>
      </c>
      <c r="C19" t="s">
        <v>37</v>
      </c>
      <c r="D19">
        <v>140.9</v>
      </c>
      <c r="E19" s="2">
        <v>150.1</v>
      </c>
      <c r="F19">
        <v>140.30000000000001</v>
      </c>
      <c r="G19">
        <v>124.9</v>
      </c>
      <c r="H19">
        <v>146.9</v>
      </c>
      <c r="I19">
        <v>142</v>
      </c>
      <c r="AD19" t="s">
        <v>33</v>
      </c>
      <c r="AE19">
        <v>2021</v>
      </c>
      <c r="AF19" t="s">
        <v>38</v>
      </c>
      <c r="AG19">
        <v>146.69999999999999</v>
      </c>
      <c r="AH19" s="2">
        <v>-1.6756032171581769</v>
      </c>
      <c r="AI19">
        <v>202</v>
      </c>
      <c r="AJ19">
        <v>-1.7031630170316301</v>
      </c>
      <c r="AK19">
        <v>180.7</v>
      </c>
      <c r="AL19">
        <v>-1.1487964989059205</v>
      </c>
      <c r="AM19">
        <v>0.25624599615631372</v>
      </c>
      <c r="AN19">
        <v>156.19999999999999</v>
      </c>
      <c r="AO19">
        <v>164.6</v>
      </c>
      <c r="AP19">
        <v>-4.0233236151603533</v>
      </c>
      <c r="AQ19">
        <v>155.4</v>
      </c>
      <c r="AR19">
        <v>-11.804767309875134</v>
      </c>
      <c r="AS19">
        <v>166</v>
      </c>
      <c r="AT19">
        <v>115.1</v>
      </c>
      <c r="AU19">
        <v>168.5</v>
      </c>
      <c r="AV19">
        <v>160</v>
      </c>
      <c r="AW19">
        <v>172.4</v>
      </c>
      <c r="AX19">
        <v>162.6</v>
      </c>
      <c r="AY19">
        <v>183.7</v>
      </c>
      <c r="AZ19">
        <v>162.19999999999999</v>
      </c>
      <c r="BA19">
        <v>151.80000000000001</v>
      </c>
      <c r="BB19">
        <v>160.69999999999999</v>
      </c>
      <c r="BC19">
        <v>154.80000000000001</v>
      </c>
      <c r="BD19">
        <v>160.5</v>
      </c>
      <c r="BE19">
        <v>154.9</v>
      </c>
      <c r="BF19">
        <v>158.80000000000001</v>
      </c>
      <c r="BG19">
        <v>166.3</v>
      </c>
      <c r="BH19">
        <v>161.69999999999999</v>
      </c>
      <c r="BI19">
        <v>190.8</v>
      </c>
      <c r="BJ19">
        <v>157.6</v>
      </c>
      <c r="BK19">
        <v>161.30000000000001</v>
      </c>
      <c r="BM19">
        <v>159.80000000000001</v>
      </c>
      <c r="BN19">
        <v>150.69999999999999</v>
      </c>
      <c r="BP19">
        <v>310.5</v>
      </c>
      <c r="BQ19" s="2">
        <v>2.2727272727272654</v>
      </c>
    </row>
    <row r="20" spans="1:69" x14ac:dyDescent="0.35">
      <c r="A20" t="s">
        <v>30</v>
      </c>
      <c r="B20">
        <v>2019</v>
      </c>
      <c r="C20" t="s">
        <v>38</v>
      </c>
      <c r="D20">
        <v>141</v>
      </c>
      <c r="E20" s="2">
        <v>139.2551</v>
      </c>
      <c r="F20">
        <v>147.80000000000001</v>
      </c>
      <c r="G20">
        <v>130.19999999999999</v>
      </c>
      <c r="H20">
        <v>151.69999999999999</v>
      </c>
      <c r="I20">
        <v>143.6</v>
      </c>
      <c r="AD20" t="s">
        <v>30</v>
      </c>
      <c r="AE20">
        <v>2021</v>
      </c>
      <c r="AF20" t="s">
        <v>39</v>
      </c>
      <c r="AG20">
        <v>145.1</v>
      </c>
      <c r="AH20" s="2">
        <v>-1.0906612133605962</v>
      </c>
      <c r="AI20">
        <v>204.5</v>
      </c>
      <c r="AJ20">
        <v>1.2376237623762376</v>
      </c>
      <c r="AK20">
        <v>180.4</v>
      </c>
      <c r="AL20">
        <v>-0.16602102933037244</v>
      </c>
      <c r="AM20">
        <v>-0.19169329073483155</v>
      </c>
      <c r="AN20">
        <v>157.1</v>
      </c>
      <c r="AO20">
        <v>157.69999999999999</v>
      </c>
      <c r="AP20">
        <v>-4.1919805589307444</v>
      </c>
      <c r="AQ20">
        <v>152.80000000000001</v>
      </c>
      <c r="AR20">
        <v>-1.6731016731016692</v>
      </c>
      <c r="AS20">
        <v>163.6</v>
      </c>
      <c r="AT20">
        <v>113.9</v>
      </c>
      <c r="AU20">
        <v>169.7</v>
      </c>
      <c r="AV20">
        <v>166.2</v>
      </c>
      <c r="AW20">
        <v>171</v>
      </c>
      <c r="AX20">
        <v>161.69999999999999</v>
      </c>
      <c r="AY20">
        <v>188.7</v>
      </c>
      <c r="AZ20">
        <v>166</v>
      </c>
      <c r="BA20">
        <v>161.1</v>
      </c>
      <c r="BB20">
        <v>165.3</v>
      </c>
      <c r="BC20">
        <v>160.30000000000001</v>
      </c>
      <c r="BD20">
        <v>139.2551</v>
      </c>
      <c r="BE20">
        <v>160.69999999999999</v>
      </c>
      <c r="BF20">
        <v>160.4</v>
      </c>
      <c r="BG20">
        <v>170.4</v>
      </c>
      <c r="BH20">
        <v>167.2</v>
      </c>
      <c r="BI20">
        <v>189.7</v>
      </c>
      <c r="BJ20">
        <v>162.80000000000001</v>
      </c>
      <c r="BK20">
        <v>163.19999999999999</v>
      </c>
      <c r="BM20">
        <v>162.5</v>
      </c>
      <c r="BN20">
        <v>157.1</v>
      </c>
      <c r="BP20">
        <v>319.60000000000002</v>
      </c>
      <c r="BQ20" s="2">
        <v>2.9307568438003293</v>
      </c>
    </row>
    <row r="21" spans="1:69" x14ac:dyDescent="0.35">
      <c r="A21" t="s">
        <v>32</v>
      </c>
      <c r="B21">
        <v>2019</v>
      </c>
      <c r="C21" t="s">
        <v>38</v>
      </c>
      <c r="D21">
        <v>145.6</v>
      </c>
      <c r="E21" s="2">
        <v>149.4</v>
      </c>
      <c r="F21">
        <v>130.5</v>
      </c>
      <c r="G21">
        <v>119.6</v>
      </c>
      <c r="H21">
        <v>140.30000000000001</v>
      </c>
      <c r="I21">
        <v>142.1</v>
      </c>
      <c r="AD21" t="s">
        <v>32</v>
      </c>
      <c r="AE21">
        <v>2021</v>
      </c>
      <c r="AF21" t="s">
        <v>39</v>
      </c>
      <c r="AG21">
        <v>149.1</v>
      </c>
      <c r="AH21" s="2">
        <v>2.7567195037904892</v>
      </c>
      <c r="AI21">
        <v>210.9</v>
      </c>
      <c r="AJ21">
        <v>3.129584352078242</v>
      </c>
      <c r="AK21">
        <v>185</v>
      </c>
      <c r="AL21">
        <v>2.5498891352549857</v>
      </c>
      <c r="AM21">
        <v>0.57618437900128405</v>
      </c>
      <c r="AN21">
        <v>158.19999999999999</v>
      </c>
      <c r="AO21">
        <v>170.9</v>
      </c>
      <c r="AP21">
        <v>8.3703233988586039</v>
      </c>
      <c r="AQ21">
        <v>186.4</v>
      </c>
      <c r="AR21">
        <v>21.989528795811513</v>
      </c>
      <c r="AS21">
        <v>164.7</v>
      </c>
      <c r="AT21">
        <v>115.7</v>
      </c>
      <c r="AU21">
        <v>165.5</v>
      </c>
      <c r="AV21">
        <v>153.4</v>
      </c>
      <c r="AW21">
        <v>173.5</v>
      </c>
      <c r="AX21">
        <v>167.9</v>
      </c>
      <c r="AY21">
        <v>170.6</v>
      </c>
      <c r="AZ21">
        <v>157.9</v>
      </c>
      <c r="BA21">
        <v>141.9</v>
      </c>
      <c r="BB21">
        <v>155.5</v>
      </c>
      <c r="BC21">
        <v>150.69999999999999</v>
      </c>
      <c r="BD21">
        <v>161.5</v>
      </c>
      <c r="BE21">
        <v>151.19999999999999</v>
      </c>
      <c r="BF21">
        <v>159.6</v>
      </c>
      <c r="BG21">
        <v>161.5</v>
      </c>
      <c r="BH21">
        <v>160.30000000000001</v>
      </c>
      <c r="BI21">
        <v>195.5</v>
      </c>
      <c r="BJ21">
        <v>155</v>
      </c>
      <c r="BK21">
        <v>161.80000000000001</v>
      </c>
      <c r="BM21">
        <v>157.69999999999999</v>
      </c>
      <c r="BN21">
        <v>149.5</v>
      </c>
      <c r="BP21">
        <v>307.2</v>
      </c>
      <c r="BQ21" s="2">
        <v>-3.8798498122653422</v>
      </c>
    </row>
    <row r="22" spans="1:69" x14ac:dyDescent="0.35">
      <c r="A22" t="s">
        <v>33</v>
      </c>
      <c r="B22">
        <v>2019</v>
      </c>
      <c r="C22" t="s">
        <v>38</v>
      </c>
      <c r="D22">
        <v>142.69999999999999</v>
      </c>
      <c r="E22" s="2">
        <v>149.4</v>
      </c>
      <c r="F22">
        <v>141.19999999999999</v>
      </c>
      <c r="G22">
        <v>124.6</v>
      </c>
      <c r="H22">
        <v>147.4</v>
      </c>
      <c r="I22">
        <v>142.9</v>
      </c>
      <c r="AD22" t="s">
        <v>33</v>
      </c>
      <c r="AE22">
        <v>2021</v>
      </c>
      <c r="AF22" t="s">
        <v>39</v>
      </c>
      <c r="AG22">
        <v>146.4</v>
      </c>
      <c r="AH22" s="2">
        <v>-1.8108651911468736</v>
      </c>
      <c r="AI22">
        <v>206.8</v>
      </c>
      <c r="AJ22">
        <v>-1.9440493124703622</v>
      </c>
      <c r="AK22">
        <v>182.2</v>
      </c>
      <c r="AL22">
        <v>-1.5135135135135198</v>
      </c>
      <c r="AM22">
        <v>0.70019096117122492</v>
      </c>
      <c r="AN22">
        <v>157.5</v>
      </c>
      <c r="AO22">
        <v>163.9</v>
      </c>
      <c r="AP22">
        <v>-4.0959625511995323</v>
      </c>
      <c r="AQ22">
        <v>164.2</v>
      </c>
      <c r="AR22">
        <v>-11.909871244635202</v>
      </c>
      <c r="AS22">
        <v>164</v>
      </c>
      <c r="AT22">
        <v>114.5</v>
      </c>
      <c r="AU22">
        <v>168.3</v>
      </c>
      <c r="AV22">
        <v>160.9</v>
      </c>
      <c r="AW22">
        <v>172.2</v>
      </c>
      <c r="AX22">
        <v>164</v>
      </c>
      <c r="AY22">
        <v>182.1</v>
      </c>
      <c r="AZ22">
        <v>162.80000000000001</v>
      </c>
      <c r="BA22">
        <v>153.1</v>
      </c>
      <c r="BB22">
        <v>161.4</v>
      </c>
      <c r="BC22">
        <v>155.80000000000001</v>
      </c>
      <c r="BD22">
        <v>161.5</v>
      </c>
      <c r="BE22">
        <v>155.30000000000001</v>
      </c>
      <c r="BF22">
        <v>160.1</v>
      </c>
      <c r="BG22">
        <v>167</v>
      </c>
      <c r="BH22">
        <v>163.19999999999999</v>
      </c>
      <c r="BI22">
        <v>191.2</v>
      </c>
      <c r="BJ22">
        <v>159</v>
      </c>
      <c r="BK22">
        <v>162.5</v>
      </c>
      <c r="BM22">
        <v>160.69999999999999</v>
      </c>
      <c r="BN22">
        <v>153.1</v>
      </c>
      <c r="BP22">
        <v>313.79999999999995</v>
      </c>
      <c r="BQ22" s="2">
        <v>2.1484374999999889</v>
      </c>
    </row>
    <row r="23" spans="1:69" x14ac:dyDescent="0.35">
      <c r="A23" t="s">
        <v>30</v>
      </c>
      <c r="B23">
        <v>2019</v>
      </c>
      <c r="C23" t="s">
        <v>39</v>
      </c>
      <c r="D23">
        <v>143</v>
      </c>
      <c r="E23" s="2">
        <v>139.2551</v>
      </c>
      <c r="F23">
        <v>146.80000000000001</v>
      </c>
      <c r="G23">
        <v>131.19999999999999</v>
      </c>
      <c r="H23">
        <v>152.19999999999999</v>
      </c>
      <c r="I23">
        <v>144.9</v>
      </c>
      <c r="AD23" t="s">
        <v>30</v>
      </c>
      <c r="AE23">
        <v>2021</v>
      </c>
      <c r="AF23" t="s">
        <v>40</v>
      </c>
      <c r="AG23">
        <v>144.9</v>
      </c>
      <c r="AH23" s="2">
        <v>-1.0245901639344261</v>
      </c>
      <c r="AI23">
        <v>202.3</v>
      </c>
      <c r="AJ23">
        <v>-2.1760154738878144</v>
      </c>
      <c r="AK23">
        <v>176.5</v>
      </c>
      <c r="AL23">
        <v>-3.1284302963776009</v>
      </c>
      <c r="AM23">
        <v>-0.44247787610618755</v>
      </c>
      <c r="AN23">
        <v>157.5</v>
      </c>
      <c r="AO23">
        <v>155.69999999999999</v>
      </c>
      <c r="AP23">
        <v>-5.0030506406345427</v>
      </c>
      <c r="AQ23">
        <v>153.9</v>
      </c>
      <c r="AR23">
        <v>-6.2728380024360426</v>
      </c>
      <c r="AS23">
        <v>162.80000000000001</v>
      </c>
      <c r="AT23">
        <v>115.2</v>
      </c>
      <c r="AU23">
        <v>169.8</v>
      </c>
      <c r="AV23">
        <v>167.6</v>
      </c>
      <c r="AW23">
        <v>171.9</v>
      </c>
      <c r="AX23">
        <v>161.80000000000001</v>
      </c>
      <c r="AY23">
        <v>190.9</v>
      </c>
      <c r="AZ23">
        <v>167</v>
      </c>
      <c r="BA23">
        <v>162.6</v>
      </c>
      <c r="BB23">
        <v>166.3</v>
      </c>
      <c r="BC23">
        <v>160.9</v>
      </c>
      <c r="BD23">
        <v>139.2551</v>
      </c>
      <c r="BE23">
        <v>161.1</v>
      </c>
      <c r="BF23">
        <v>160.30000000000001</v>
      </c>
      <c r="BG23">
        <v>171.1</v>
      </c>
      <c r="BH23">
        <v>167.5</v>
      </c>
      <c r="BI23">
        <v>190.2</v>
      </c>
      <c r="BJ23">
        <v>163.30000000000001</v>
      </c>
      <c r="BK23">
        <v>163.6</v>
      </c>
      <c r="BM23">
        <v>163.1</v>
      </c>
      <c r="BN23">
        <v>157.69999999999999</v>
      </c>
      <c r="BP23">
        <v>320.79999999999995</v>
      </c>
      <c r="BQ23" s="2">
        <v>2.2307202039515617</v>
      </c>
    </row>
    <row r="24" spans="1:69" x14ac:dyDescent="0.35">
      <c r="A24" t="s">
        <v>32</v>
      </c>
      <c r="B24">
        <v>2019</v>
      </c>
      <c r="C24" t="s">
        <v>39</v>
      </c>
      <c r="D24">
        <v>147.69999999999999</v>
      </c>
      <c r="E24" s="2">
        <v>150.6</v>
      </c>
      <c r="F24">
        <v>127</v>
      </c>
      <c r="G24">
        <v>120.6</v>
      </c>
      <c r="H24">
        <v>140.80000000000001</v>
      </c>
      <c r="I24">
        <v>143.30000000000001</v>
      </c>
      <c r="AD24" t="s">
        <v>32</v>
      </c>
      <c r="AE24">
        <v>2021</v>
      </c>
      <c r="AF24" t="s">
        <v>40</v>
      </c>
      <c r="AG24">
        <v>149.30000000000001</v>
      </c>
      <c r="AH24" s="2">
        <v>3.0365769496204318</v>
      </c>
      <c r="AI24">
        <v>207.4</v>
      </c>
      <c r="AJ24">
        <v>2.5210084033613414</v>
      </c>
      <c r="AK24">
        <v>174.1</v>
      </c>
      <c r="AL24">
        <v>-1.3597733711048192</v>
      </c>
      <c r="AM24">
        <v>0</v>
      </c>
      <c r="AN24">
        <v>159.19999999999999</v>
      </c>
      <c r="AO24">
        <v>161.30000000000001</v>
      </c>
      <c r="AP24">
        <v>3.5966602440591031</v>
      </c>
      <c r="AQ24">
        <v>183.3</v>
      </c>
      <c r="AR24">
        <v>19.103313840155948</v>
      </c>
      <c r="AS24">
        <v>164.5</v>
      </c>
      <c r="AT24">
        <v>120.4</v>
      </c>
      <c r="AU24">
        <v>166.2</v>
      </c>
      <c r="AV24">
        <v>154.80000000000001</v>
      </c>
      <c r="AW24">
        <v>175.1</v>
      </c>
      <c r="AX24">
        <v>167.3</v>
      </c>
      <c r="AY24">
        <v>175</v>
      </c>
      <c r="AZ24">
        <v>159.80000000000001</v>
      </c>
      <c r="BA24">
        <v>143.6</v>
      </c>
      <c r="BB24">
        <v>157.30000000000001</v>
      </c>
      <c r="BC24">
        <v>153.19999999999999</v>
      </c>
      <c r="BD24">
        <v>162.1</v>
      </c>
      <c r="BE24">
        <v>153.69999999999999</v>
      </c>
      <c r="BF24">
        <v>159.6</v>
      </c>
      <c r="BG24">
        <v>162.80000000000001</v>
      </c>
      <c r="BH24">
        <v>160.4</v>
      </c>
      <c r="BI24">
        <v>196.5</v>
      </c>
      <c r="BJ24">
        <v>156</v>
      </c>
      <c r="BK24">
        <v>162.30000000000001</v>
      </c>
      <c r="BM24">
        <v>160.69999999999999</v>
      </c>
      <c r="BN24">
        <v>150.4</v>
      </c>
      <c r="BP24">
        <v>311.10000000000002</v>
      </c>
      <c r="BQ24" s="2">
        <v>-3.0236907730673108</v>
      </c>
    </row>
    <row r="25" spans="1:69" x14ac:dyDescent="0.35">
      <c r="A25" t="s">
        <v>33</v>
      </c>
      <c r="B25">
        <v>2019</v>
      </c>
      <c r="C25" t="s">
        <v>39</v>
      </c>
      <c r="D25">
        <v>144.69999999999999</v>
      </c>
      <c r="E25" s="2">
        <v>150.6</v>
      </c>
      <c r="F25">
        <v>139.30000000000001</v>
      </c>
      <c r="G25">
        <v>125.6</v>
      </c>
      <c r="H25">
        <v>147.9</v>
      </c>
      <c r="I25">
        <v>144.19999999999999</v>
      </c>
      <c r="AD25" t="s">
        <v>33</v>
      </c>
      <c r="AE25">
        <v>2021</v>
      </c>
      <c r="AF25" t="s">
        <v>40</v>
      </c>
      <c r="AG25">
        <v>146.6</v>
      </c>
      <c r="AH25" s="2">
        <v>-1.808439383791036</v>
      </c>
      <c r="AI25">
        <v>204</v>
      </c>
      <c r="AJ25">
        <v>-1.6393442622950849</v>
      </c>
      <c r="AK25">
        <v>172.8</v>
      </c>
      <c r="AL25">
        <v>-0.74669730040205795</v>
      </c>
      <c r="AM25">
        <v>1.0793650793650722</v>
      </c>
      <c r="AN25">
        <v>158.4</v>
      </c>
      <c r="AO25">
        <v>156.80000000000001</v>
      </c>
      <c r="AP25">
        <v>-2.7898326100433972</v>
      </c>
      <c r="AQ25">
        <v>162.19999999999999</v>
      </c>
      <c r="AR25">
        <v>-11.511183851609395</v>
      </c>
      <c r="AS25">
        <v>164.1</v>
      </c>
      <c r="AT25">
        <v>119.7</v>
      </c>
      <c r="AU25">
        <v>168.8</v>
      </c>
      <c r="AV25">
        <v>162.69999999999999</v>
      </c>
      <c r="AW25">
        <v>173.9</v>
      </c>
      <c r="AX25">
        <v>164</v>
      </c>
      <c r="AY25">
        <v>188</v>
      </c>
      <c r="AZ25">
        <v>164.5</v>
      </c>
      <c r="BA25">
        <v>155.30000000000001</v>
      </c>
      <c r="BB25">
        <v>163.19999999999999</v>
      </c>
      <c r="BC25">
        <v>157.5</v>
      </c>
      <c r="BD25">
        <v>162.1</v>
      </c>
      <c r="BE25">
        <v>157.6</v>
      </c>
      <c r="BF25">
        <v>160</v>
      </c>
      <c r="BG25">
        <v>168.4</v>
      </c>
      <c r="BH25">
        <v>163.80000000000001</v>
      </c>
      <c r="BI25">
        <v>192.1</v>
      </c>
      <c r="BJ25">
        <v>160</v>
      </c>
      <c r="BK25">
        <v>163.19999999999999</v>
      </c>
      <c r="BM25">
        <v>162.6</v>
      </c>
      <c r="BN25">
        <v>154</v>
      </c>
      <c r="BP25">
        <v>316.60000000000002</v>
      </c>
      <c r="BQ25" s="2">
        <v>1.7679202828672451</v>
      </c>
    </row>
    <row r="26" spans="1:69" x14ac:dyDescent="0.35">
      <c r="A26" t="s">
        <v>30</v>
      </c>
      <c r="B26">
        <v>2019</v>
      </c>
      <c r="C26" t="s">
        <v>40</v>
      </c>
      <c r="D26">
        <v>144</v>
      </c>
      <c r="E26" s="2">
        <v>139.2551</v>
      </c>
      <c r="F26">
        <v>146.4</v>
      </c>
      <c r="G26">
        <v>131.4</v>
      </c>
      <c r="H26">
        <v>152.69999999999999</v>
      </c>
      <c r="I26">
        <v>145.69999999999999</v>
      </c>
      <c r="AD26" t="s">
        <v>30</v>
      </c>
      <c r="AE26">
        <v>2021</v>
      </c>
      <c r="AF26" t="s">
        <v>41</v>
      </c>
      <c r="AG26">
        <v>145.4</v>
      </c>
      <c r="AH26" s="2">
        <v>-0.81855388813096097</v>
      </c>
      <c r="AI26">
        <v>202.1</v>
      </c>
      <c r="AJ26">
        <v>-0.93137254901961064</v>
      </c>
      <c r="AK26">
        <v>172</v>
      </c>
      <c r="AL26">
        <v>-0.46296296296296952</v>
      </c>
      <c r="AM26">
        <v>-0.50251256281405965</v>
      </c>
      <c r="AN26">
        <v>158</v>
      </c>
      <c r="AO26">
        <v>152.69999999999999</v>
      </c>
      <c r="AP26">
        <v>-2.6147959183673612</v>
      </c>
      <c r="AQ26">
        <v>151.4</v>
      </c>
      <c r="AR26">
        <v>-6.658446362515404</v>
      </c>
      <c r="AS26">
        <v>163.9</v>
      </c>
      <c r="AT26">
        <v>119.3</v>
      </c>
      <c r="AU26">
        <v>170.1</v>
      </c>
      <c r="AV26">
        <v>168.3</v>
      </c>
      <c r="AW26">
        <v>172.8</v>
      </c>
      <c r="AX26">
        <v>162.1</v>
      </c>
      <c r="AY26">
        <v>195.5</v>
      </c>
      <c r="AZ26">
        <v>167.7</v>
      </c>
      <c r="BA26">
        <v>163.6</v>
      </c>
      <c r="BB26">
        <v>167.1</v>
      </c>
      <c r="BC26">
        <v>161.30000000000001</v>
      </c>
      <c r="BD26">
        <v>139.2551</v>
      </c>
      <c r="BE26">
        <v>162.69999999999999</v>
      </c>
      <c r="BF26">
        <v>160.19999999999999</v>
      </c>
      <c r="BG26">
        <v>171.9</v>
      </c>
      <c r="BH26">
        <v>168.5</v>
      </c>
      <c r="BI26">
        <v>190.5</v>
      </c>
      <c r="BJ26">
        <v>163.80000000000001</v>
      </c>
      <c r="BK26">
        <v>164</v>
      </c>
      <c r="BM26">
        <v>163.69999999999999</v>
      </c>
      <c r="BN26">
        <v>157.80000000000001</v>
      </c>
      <c r="BP26">
        <v>321.5</v>
      </c>
      <c r="BQ26" s="2">
        <v>1.5476942514213445</v>
      </c>
    </row>
    <row r="27" spans="1:69" x14ac:dyDescent="0.35">
      <c r="A27" t="s">
        <v>32</v>
      </c>
      <c r="B27">
        <v>2019</v>
      </c>
      <c r="C27" t="s">
        <v>40</v>
      </c>
      <c r="D27">
        <v>149.1</v>
      </c>
      <c r="E27" s="2">
        <v>151.6</v>
      </c>
      <c r="F27">
        <v>125.5</v>
      </c>
      <c r="G27">
        <v>120.8</v>
      </c>
      <c r="H27">
        <v>141.5</v>
      </c>
      <c r="I27">
        <v>144.19999999999999</v>
      </c>
      <c r="AD27" t="s">
        <v>32</v>
      </c>
      <c r="AE27">
        <v>2021</v>
      </c>
      <c r="AF27" t="s">
        <v>41</v>
      </c>
      <c r="AG27">
        <v>149.30000000000001</v>
      </c>
      <c r="AH27" s="2">
        <v>2.6822558459422323</v>
      </c>
      <c r="AI27">
        <v>207.4</v>
      </c>
      <c r="AJ27">
        <v>2.6224641266699713</v>
      </c>
      <c r="AK27">
        <v>174.1</v>
      </c>
      <c r="AL27">
        <v>1.2209302325581362</v>
      </c>
      <c r="AM27">
        <v>-0.25252525252525609</v>
      </c>
      <c r="AN27">
        <v>159.1</v>
      </c>
      <c r="AO27">
        <v>161.19999999999999</v>
      </c>
      <c r="AP27">
        <v>5.5664702030124431</v>
      </c>
      <c r="AQ27">
        <v>183.5</v>
      </c>
      <c r="AR27">
        <v>21.202113606340813</v>
      </c>
      <c r="AS27">
        <v>164.5</v>
      </c>
      <c r="AT27">
        <v>120.4</v>
      </c>
      <c r="AU27">
        <v>166.2</v>
      </c>
      <c r="AV27">
        <v>154.80000000000001</v>
      </c>
      <c r="AW27">
        <v>175.1</v>
      </c>
      <c r="AX27">
        <v>167.3</v>
      </c>
      <c r="AY27">
        <v>175</v>
      </c>
      <c r="AZ27">
        <v>159.80000000000001</v>
      </c>
      <c r="BA27">
        <v>143.6</v>
      </c>
      <c r="BB27">
        <v>157.4</v>
      </c>
      <c r="BC27">
        <v>153.30000000000001</v>
      </c>
      <c r="BD27">
        <v>162.1</v>
      </c>
      <c r="BE27">
        <v>153.9</v>
      </c>
      <c r="BF27">
        <v>159.6</v>
      </c>
      <c r="BG27">
        <v>162.80000000000001</v>
      </c>
      <c r="BH27">
        <v>160.30000000000001</v>
      </c>
      <c r="BI27">
        <v>196.5</v>
      </c>
      <c r="BJ27">
        <v>156</v>
      </c>
      <c r="BK27">
        <v>162.30000000000001</v>
      </c>
      <c r="BM27">
        <v>160.80000000000001</v>
      </c>
      <c r="BN27">
        <v>150.5</v>
      </c>
      <c r="BP27">
        <v>311.3</v>
      </c>
      <c r="BQ27" s="2">
        <v>-3.172628304821147</v>
      </c>
    </row>
    <row r="28" spans="1:69" x14ac:dyDescent="0.35">
      <c r="A28" t="s">
        <v>33</v>
      </c>
      <c r="B28">
        <v>2019</v>
      </c>
      <c r="C28" t="s">
        <v>40</v>
      </c>
      <c r="D28">
        <v>145.9</v>
      </c>
      <c r="E28" s="2">
        <v>151.6</v>
      </c>
      <c r="F28">
        <v>138.5</v>
      </c>
      <c r="G28">
        <v>125.8</v>
      </c>
      <c r="H28">
        <v>148.5</v>
      </c>
      <c r="I28">
        <v>145</v>
      </c>
      <c r="AD28" t="s">
        <v>33</v>
      </c>
      <c r="AE28">
        <v>2021</v>
      </c>
      <c r="AF28" t="s">
        <v>41</v>
      </c>
      <c r="AG28">
        <v>146.6</v>
      </c>
      <c r="AH28" s="2">
        <v>-1.808439383791036</v>
      </c>
      <c r="AI28">
        <v>204</v>
      </c>
      <c r="AJ28">
        <v>-1.6393442622950849</v>
      </c>
      <c r="AK28">
        <v>172.8</v>
      </c>
      <c r="AL28">
        <v>-0.74669730040205795</v>
      </c>
      <c r="AM28">
        <v>0.696202531645566</v>
      </c>
      <c r="AN28">
        <v>158.4</v>
      </c>
      <c r="AO28">
        <v>156.69999999999999</v>
      </c>
      <c r="AP28">
        <v>-2.7915632754342434</v>
      </c>
      <c r="AQ28">
        <v>162.30000000000001</v>
      </c>
      <c r="AR28">
        <v>-11.553133514986371</v>
      </c>
      <c r="AS28">
        <v>164.1</v>
      </c>
      <c r="AT28">
        <v>119.7</v>
      </c>
      <c r="AU28">
        <v>168.8</v>
      </c>
      <c r="AV28">
        <v>162.69999999999999</v>
      </c>
      <c r="AW28">
        <v>173.9</v>
      </c>
      <c r="AX28">
        <v>164</v>
      </c>
      <c r="AY28">
        <v>188</v>
      </c>
      <c r="AZ28">
        <v>164.6</v>
      </c>
      <c r="BA28">
        <v>155.30000000000001</v>
      </c>
      <c r="BB28">
        <v>163.30000000000001</v>
      </c>
      <c r="BC28">
        <v>157.5</v>
      </c>
      <c r="BD28">
        <v>162.1</v>
      </c>
      <c r="BE28">
        <v>157.69999999999999</v>
      </c>
      <c r="BF28">
        <v>160</v>
      </c>
      <c r="BG28">
        <v>168.4</v>
      </c>
      <c r="BH28">
        <v>163.69999999999999</v>
      </c>
      <c r="BI28">
        <v>192.1</v>
      </c>
      <c r="BJ28">
        <v>160</v>
      </c>
      <c r="BK28">
        <v>163.19999999999999</v>
      </c>
      <c r="BM28">
        <v>162.6</v>
      </c>
      <c r="BN28">
        <v>154</v>
      </c>
      <c r="BP28">
        <v>316.60000000000002</v>
      </c>
      <c r="BQ28" s="2">
        <v>1.7025377449405754</v>
      </c>
    </row>
    <row r="29" spans="1:69" x14ac:dyDescent="0.35">
      <c r="A29" t="s">
        <v>30</v>
      </c>
      <c r="B29">
        <v>2019</v>
      </c>
      <c r="C29" t="s">
        <v>41</v>
      </c>
      <c r="D29">
        <v>145.5</v>
      </c>
      <c r="E29" s="2">
        <v>139.2551</v>
      </c>
      <c r="F29">
        <v>146.9</v>
      </c>
      <c r="G29">
        <v>131.6</v>
      </c>
      <c r="H29">
        <v>153.4</v>
      </c>
      <c r="I29">
        <v>146.69999999999999</v>
      </c>
      <c r="AD29" t="s">
        <v>30</v>
      </c>
      <c r="AE29">
        <v>2021</v>
      </c>
      <c r="AF29" t="s">
        <v>42</v>
      </c>
      <c r="AG29">
        <v>146.1</v>
      </c>
      <c r="AH29" s="2">
        <v>-0.34106412005457026</v>
      </c>
      <c r="AI29">
        <v>202.5</v>
      </c>
      <c r="AJ29">
        <v>-0.73529411764705876</v>
      </c>
      <c r="AK29">
        <v>170.1</v>
      </c>
      <c r="AL29">
        <v>-1.5625000000000098</v>
      </c>
      <c r="AM29">
        <v>-0.43997485857950264</v>
      </c>
      <c r="AN29">
        <v>158.4</v>
      </c>
      <c r="AO29">
        <v>152.6</v>
      </c>
      <c r="AP29">
        <v>-2.6164645820038257</v>
      </c>
      <c r="AQ29">
        <v>170.4</v>
      </c>
      <c r="AR29">
        <v>4.9907578558225465</v>
      </c>
      <c r="AS29">
        <v>165.2</v>
      </c>
      <c r="AT29">
        <v>121.6</v>
      </c>
      <c r="AU29">
        <v>170.6</v>
      </c>
      <c r="AV29">
        <v>168.8</v>
      </c>
      <c r="AW29">
        <v>173.6</v>
      </c>
      <c r="AX29">
        <v>165.5</v>
      </c>
      <c r="AY29">
        <v>198.8</v>
      </c>
      <c r="AZ29">
        <v>168.9</v>
      </c>
      <c r="BA29">
        <v>164.8</v>
      </c>
      <c r="BB29">
        <v>168.3</v>
      </c>
      <c r="BC29">
        <v>162</v>
      </c>
      <c r="BD29">
        <v>139.2551</v>
      </c>
      <c r="BE29">
        <v>163.19999999999999</v>
      </c>
      <c r="BF29">
        <v>161.1</v>
      </c>
      <c r="BG29">
        <v>172.5</v>
      </c>
      <c r="BH29">
        <v>169</v>
      </c>
      <c r="BI29">
        <v>191.2</v>
      </c>
      <c r="BJ29">
        <v>164.7</v>
      </c>
      <c r="BK29">
        <v>166.3</v>
      </c>
      <c r="BM29">
        <v>165.5</v>
      </c>
      <c r="BN29">
        <v>159.5</v>
      </c>
      <c r="BP29">
        <v>325</v>
      </c>
      <c r="BQ29" s="2">
        <v>2.6531901452937388</v>
      </c>
    </row>
    <row r="30" spans="1:69" x14ac:dyDescent="0.35">
      <c r="A30" t="s">
        <v>32</v>
      </c>
      <c r="B30">
        <v>2019</v>
      </c>
      <c r="C30" t="s">
        <v>41</v>
      </c>
      <c r="D30">
        <v>149.5</v>
      </c>
      <c r="E30" s="2">
        <v>152.19999999999999</v>
      </c>
      <c r="F30">
        <v>126.6</v>
      </c>
      <c r="G30">
        <v>121.2</v>
      </c>
      <c r="H30">
        <v>141.9</v>
      </c>
      <c r="I30">
        <v>144.69999999999999</v>
      </c>
      <c r="AD30" t="s">
        <v>32</v>
      </c>
      <c r="AE30">
        <v>2021</v>
      </c>
      <c r="AF30" t="s">
        <v>42</v>
      </c>
      <c r="AG30">
        <v>150.1</v>
      </c>
      <c r="AH30" s="2">
        <v>2.7378507871321016</v>
      </c>
      <c r="AI30">
        <v>208.4</v>
      </c>
      <c r="AJ30">
        <v>2.913580246913583</v>
      </c>
      <c r="AK30">
        <v>173</v>
      </c>
      <c r="AL30">
        <v>1.704879482657264</v>
      </c>
      <c r="AM30">
        <v>0</v>
      </c>
      <c r="AN30">
        <v>159.19999999999999</v>
      </c>
      <c r="AO30">
        <v>159.30000000000001</v>
      </c>
      <c r="AP30">
        <v>4.390563564875503</v>
      </c>
      <c r="AQ30">
        <v>214.4</v>
      </c>
      <c r="AR30">
        <v>25.821596244131456</v>
      </c>
      <c r="AS30">
        <v>165.3</v>
      </c>
      <c r="AT30">
        <v>122.5</v>
      </c>
      <c r="AU30">
        <v>166.8</v>
      </c>
      <c r="AV30">
        <v>155.4</v>
      </c>
      <c r="AW30">
        <v>175.9</v>
      </c>
      <c r="AX30">
        <v>171.5</v>
      </c>
      <c r="AY30">
        <v>176.6</v>
      </c>
      <c r="AZ30">
        <v>160.80000000000001</v>
      </c>
      <c r="BA30">
        <v>144.4</v>
      </c>
      <c r="BB30">
        <v>158.30000000000001</v>
      </c>
      <c r="BC30">
        <v>154.30000000000001</v>
      </c>
      <c r="BD30">
        <v>163.6</v>
      </c>
      <c r="BE30">
        <v>155.1</v>
      </c>
      <c r="BF30">
        <v>160.30000000000001</v>
      </c>
      <c r="BG30">
        <v>163.5</v>
      </c>
      <c r="BH30">
        <v>160.30000000000001</v>
      </c>
      <c r="BI30">
        <v>197</v>
      </c>
      <c r="BJ30">
        <v>157</v>
      </c>
      <c r="BK30">
        <v>164.6</v>
      </c>
      <c r="BM30">
        <v>162.19999999999999</v>
      </c>
      <c r="BN30">
        <v>152.19999999999999</v>
      </c>
      <c r="BP30">
        <v>314.39999999999998</v>
      </c>
      <c r="BQ30" s="2">
        <v>-3.2615384615384686</v>
      </c>
    </row>
    <row r="31" spans="1:69" x14ac:dyDescent="0.35">
      <c r="A31" t="s">
        <v>33</v>
      </c>
      <c r="B31">
        <v>2019</v>
      </c>
      <c r="C31" t="s">
        <v>41</v>
      </c>
      <c r="D31">
        <v>147</v>
      </c>
      <c r="E31" s="2">
        <v>152.19999999999999</v>
      </c>
      <c r="F31">
        <v>139.19999999999999</v>
      </c>
      <c r="G31">
        <v>126.1</v>
      </c>
      <c r="H31">
        <v>149</v>
      </c>
      <c r="I31">
        <v>145.80000000000001</v>
      </c>
      <c r="AD31" t="s">
        <v>33</v>
      </c>
      <c r="AE31">
        <v>2021</v>
      </c>
      <c r="AF31" t="s">
        <v>42</v>
      </c>
      <c r="AG31">
        <v>147.4</v>
      </c>
      <c r="AH31" s="2">
        <v>-1.7988007994670145</v>
      </c>
      <c r="AI31">
        <v>204.6</v>
      </c>
      <c r="AJ31">
        <v>-1.8234165067178558</v>
      </c>
      <c r="AK31">
        <v>171.2</v>
      </c>
      <c r="AL31">
        <v>-1.0404624277456713</v>
      </c>
      <c r="AM31">
        <v>0.5050505050504942</v>
      </c>
      <c r="AN31">
        <v>158.69999999999999</v>
      </c>
      <c r="AO31">
        <v>155.69999999999999</v>
      </c>
      <c r="AP31">
        <v>-2.2598870056497318</v>
      </c>
      <c r="AQ31">
        <v>185.3</v>
      </c>
      <c r="AR31">
        <v>-13.572761194029848</v>
      </c>
      <c r="AS31">
        <v>165.2</v>
      </c>
      <c r="AT31">
        <v>121.9</v>
      </c>
      <c r="AU31">
        <v>169.3</v>
      </c>
      <c r="AV31">
        <v>163.19999999999999</v>
      </c>
      <c r="AW31">
        <v>174.7</v>
      </c>
      <c r="AX31">
        <v>167.7</v>
      </c>
      <c r="AY31">
        <v>190.6</v>
      </c>
      <c r="AZ31">
        <v>165.7</v>
      </c>
      <c r="BA31">
        <v>156.30000000000001</v>
      </c>
      <c r="BB31">
        <v>164.3</v>
      </c>
      <c r="BC31">
        <v>158.4</v>
      </c>
      <c r="BD31">
        <v>163.6</v>
      </c>
      <c r="BE31">
        <v>158.6</v>
      </c>
      <c r="BF31">
        <v>160.80000000000001</v>
      </c>
      <c r="BG31">
        <v>169.1</v>
      </c>
      <c r="BH31">
        <v>163.9</v>
      </c>
      <c r="BI31">
        <v>192.7</v>
      </c>
      <c r="BJ31">
        <v>161</v>
      </c>
      <c r="BK31">
        <v>165.5</v>
      </c>
      <c r="BM31">
        <v>164.2</v>
      </c>
      <c r="BN31">
        <v>155.69999999999999</v>
      </c>
      <c r="BP31">
        <v>319.89999999999998</v>
      </c>
      <c r="BQ31" s="2">
        <v>1.7493638676844785</v>
      </c>
    </row>
    <row r="32" spans="1:69" x14ac:dyDescent="0.35">
      <c r="A32" t="s">
        <v>30</v>
      </c>
      <c r="B32">
        <v>2019</v>
      </c>
      <c r="C32" t="s">
        <v>42</v>
      </c>
      <c r="D32">
        <v>148.30000000000001</v>
      </c>
      <c r="E32" s="2">
        <v>139.2551</v>
      </c>
      <c r="F32">
        <v>147.69999999999999</v>
      </c>
      <c r="G32">
        <v>131.69999999999999</v>
      </c>
      <c r="H32">
        <v>153.69999999999999</v>
      </c>
      <c r="I32">
        <v>148.30000000000001</v>
      </c>
      <c r="AD32" t="s">
        <v>30</v>
      </c>
      <c r="AE32">
        <v>2021</v>
      </c>
      <c r="AF32" t="s">
        <v>44</v>
      </c>
      <c r="AG32">
        <v>146.9</v>
      </c>
      <c r="AH32" s="2">
        <v>-0.33921302578018991</v>
      </c>
      <c r="AI32">
        <v>199.8</v>
      </c>
      <c r="AJ32">
        <v>-2.3460410557184668</v>
      </c>
      <c r="AK32">
        <v>171.5</v>
      </c>
      <c r="AL32">
        <v>0.17523364485981974</v>
      </c>
      <c r="AM32">
        <v>-0.314070351758794</v>
      </c>
      <c r="AN32">
        <v>159.1</v>
      </c>
      <c r="AO32">
        <v>153.19999999999999</v>
      </c>
      <c r="AP32">
        <v>-1.605651894669236</v>
      </c>
      <c r="AQ32">
        <v>183.9</v>
      </c>
      <c r="AR32">
        <v>-0.75553157042633867</v>
      </c>
      <c r="AS32">
        <v>165.4</v>
      </c>
      <c r="AT32">
        <v>122.1</v>
      </c>
      <c r="AU32">
        <v>170.8</v>
      </c>
      <c r="AV32">
        <v>169.1</v>
      </c>
      <c r="AW32">
        <v>174.3</v>
      </c>
      <c r="AX32">
        <v>167.5</v>
      </c>
      <c r="AY32">
        <v>198.4</v>
      </c>
      <c r="AZ32">
        <v>170.4</v>
      </c>
      <c r="BA32">
        <v>166</v>
      </c>
      <c r="BB32">
        <v>169.8</v>
      </c>
      <c r="BC32">
        <v>162.9</v>
      </c>
      <c r="BD32">
        <v>139.2551</v>
      </c>
      <c r="BE32">
        <v>163.80000000000001</v>
      </c>
      <c r="BF32">
        <v>162.4</v>
      </c>
      <c r="BG32">
        <v>173.4</v>
      </c>
      <c r="BH32">
        <v>169.3</v>
      </c>
      <c r="BI32">
        <v>191.4</v>
      </c>
      <c r="BJ32">
        <v>165.2</v>
      </c>
      <c r="BK32">
        <v>167.6</v>
      </c>
      <c r="BM32">
        <v>165.3</v>
      </c>
      <c r="BN32">
        <v>158.9</v>
      </c>
      <c r="BP32">
        <v>324.20000000000005</v>
      </c>
      <c r="BQ32" s="2">
        <v>1.3441700531416281</v>
      </c>
    </row>
    <row r="33" spans="1:69" x14ac:dyDescent="0.35">
      <c r="A33" t="s">
        <v>32</v>
      </c>
      <c r="B33">
        <v>2019</v>
      </c>
      <c r="C33" t="s">
        <v>42</v>
      </c>
      <c r="D33">
        <v>151.9</v>
      </c>
      <c r="E33" s="2">
        <v>153</v>
      </c>
      <c r="F33">
        <v>128.9</v>
      </c>
      <c r="G33">
        <v>121.5</v>
      </c>
      <c r="H33">
        <v>142.4</v>
      </c>
      <c r="I33">
        <v>146</v>
      </c>
      <c r="AD33" t="s">
        <v>32</v>
      </c>
      <c r="AE33">
        <v>2021</v>
      </c>
      <c r="AF33" t="s">
        <v>44</v>
      </c>
      <c r="AG33">
        <v>151</v>
      </c>
      <c r="AH33" s="2">
        <v>2.7910142954390702</v>
      </c>
      <c r="AI33">
        <v>204.9</v>
      </c>
      <c r="AJ33">
        <v>2.5525525525525494</v>
      </c>
      <c r="AK33">
        <v>175.4</v>
      </c>
      <c r="AL33">
        <v>2.2740524781341143</v>
      </c>
      <c r="AM33">
        <v>0.25204788909893239</v>
      </c>
      <c r="AN33">
        <v>159.6</v>
      </c>
      <c r="AO33">
        <v>160.30000000000001</v>
      </c>
      <c r="AP33">
        <v>4.63446475195824</v>
      </c>
      <c r="AQ33">
        <v>229.1</v>
      </c>
      <c r="AR33">
        <v>24.578575312669923</v>
      </c>
      <c r="AS33">
        <v>165.1</v>
      </c>
      <c r="AT33">
        <v>123.1</v>
      </c>
      <c r="AU33">
        <v>167.2</v>
      </c>
      <c r="AV33">
        <v>156.1</v>
      </c>
      <c r="AW33">
        <v>176.8</v>
      </c>
      <c r="AX33">
        <v>173.5</v>
      </c>
      <c r="AY33">
        <v>175.8</v>
      </c>
      <c r="AZ33">
        <v>162.30000000000001</v>
      </c>
      <c r="BA33">
        <v>145.30000000000001</v>
      </c>
      <c r="BB33">
        <v>159.69999999999999</v>
      </c>
      <c r="BC33">
        <v>155.19999999999999</v>
      </c>
      <c r="BD33">
        <v>164.2</v>
      </c>
      <c r="BE33">
        <v>156.69999999999999</v>
      </c>
      <c r="BF33">
        <v>161.80000000000001</v>
      </c>
      <c r="BG33">
        <v>164.2</v>
      </c>
      <c r="BH33">
        <v>160.80000000000001</v>
      </c>
      <c r="BI33">
        <v>197</v>
      </c>
      <c r="BJ33">
        <v>157.30000000000001</v>
      </c>
      <c r="BK33">
        <v>165.6</v>
      </c>
      <c r="BM33">
        <v>161.6</v>
      </c>
      <c r="BN33">
        <v>151.19999999999999</v>
      </c>
      <c r="BP33">
        <v>312.79999999999995</v>
      </c>
      <c r="BQ33" s="2">
        <v>-3.5163479333744876</v>
      </c>
    </row>
    <row r="34" spans="1:69" x14ac:dyDescent="0.35">
      <c r="A34" t="s">
        <v>33</v>
      </c>
      <c r="B34">
        <v>2019</v>
      </c>
      <c r="C34" t="s">
        <v>42</v>
      </c>
      <c r="D34">
        <v>149.6</v>
      </c>
      <c r="E34" s="2">
        <v>153</v>
      </c>
      <c r="F34">
        <v>140.6</v>
      </c>
      <c r="G34">
        <v>126.3</v>
      </c>
      <c r="H34">
        <v>149.4</v>
      </c>
      <c r="I34">
        <v>147.19999999999999</v>
      </c>
      <c r="AD34" t="s">
        <v>33</v>
      </c>
      <c r="AE34">
        <v>2021</v>
      </c>
      <c r="AF34" t="s">
        <v>44</v>
      </c>
      <c r="AG34">
        <v>148.19999999999999</v>
      </c>
      <c r="AH34" s="2">
        <v>-1.8543046357615969</v>
      </c>
      <c r="AI34">
        <v>201.6</v>
      </c>
      <c r="AJ34">
        <v>-1.6105417276720408</v>
      </c>
      <c r="AK34">
        <v>173</v>
      </c>
      <c r="AL34">
        <v>-1.3683010262257729</v>
      </c>
      <c r="AM34">
        <v>0.31426775612822128</v>
      </c>
      <c r="AN34">
        <v>159.30000000000001</v>
      </c>
      <c r="AO34">
        <v>156.5</v>
      </c>
      <c r="AP34">
        <v>-2.3705552089831636</v>
      </c>
      <c r="AQ34">
        <v>199.2</v>
      </c>
      <c r="AR34">
        <v>-13.051069402007858</v>
      </c>
      <c r="AS34">
        <v>165.3</v>
      </c>
      <c r="AT34">
        <v>122.4</v>
      </c>
      <c r="AU34">
        <v>169.6</v>
      </c>
      <c r="AV34">
        <v>163.69999999999999</v>
      </c>
      <c r="AW34">
        <v>175.5</v>
      </c>
      <c r="AX34">
        <v>169.7</v>
      </c>
      <c r="AY34">
        <v>190.1</v>
      </c>
      <c r="AZ34">
        <v>167.2</v>
      </c>
      <c r="BA34">
        <v>157.4</v>
      </c>
      <c r="BB34">
        <v>165.8</v>
      </c>
      <c r="BC34">
        <v>159.30000000000001</v>
      </c>
      <c r="BD34">
        <v>164.2</v>
      </c>
      <c r="BE34">
        <v>159.80000000000001</v>
      </c>
      <c r="BF34">
        <v>162.19999999999999</v>
      </c>
      <c r="BG34">
        <v>169.9</v>
      </c>
      <c r="BH34">
        <v>164.3</v>
      </c>
      <c r="BI34">
        <v>192.9</v>
      </c>
      <c r="BJ34">
        <v>161.4</v>
      </c>
      <c r="BK34">
        <v>166.7</v>
      </c>
      <c r="BM34">
        <v>163.9</v>
      </c>
      <c r="BN34">
        <v>154.80000000000001</v>
      </c>
      <c r="BP34">
        <v>318.70000000000005</v>
      </c>
      <c r="BQ34" s="2">
        <v>1.8861892583120499</v>
      </c>
    </row>
    <row r="35" spans="1:69" x14ac:dyDescent="0.35">
      <c r="A35" t="s">
        <v>30</v>
      </c>
      <c r="B35">
        <v>2019</v>
      </c>
      <c r="C35" t="s">
        <v>44</v>
      </c>
      <c r="D35">
        <v>150.9</v>
      </c>
      <c r="E35" s="2">
        <v>139.2551</v>
      </c>
      <c r="F35">
        <v>148.4</v>
      </c>
      <c r="G35">
        <v>132.1</v>
      </c>
      <c r="H35">
        <v>154.30000000000001</v>
      </c>
      <c r="I35">
        <v>149.9</v>
      </c>
      <c r="AD35" t="s">
        <v>30</v>
      </c>
      <c r="AE35">
        <v>2021</v>
      </c>
      <c r="AF35" t="s">
        <v>45</v>
      </c>
      <c r="AG35">
        <v>147.4</v>
      </c>
      <c r="AH35" s="2">
        <v>-0.53981106612684415</v>
      </c>
      <c r="AI35">
        <v>197</v>
      </c>
      <c r="AJ35">
        <v>-2.281746031746029</v>
      </c>
      <c r="AK35">
        <v>176.5</v>
      </c>
      <c r="AL35">
        <v>2.0231213872832372</v>
      </c>
      <c r="AM35">
        <v>-0.18796992481201941</v>
      </c>
      <c r="AN35">
        <v>159.80000000000001</v>
      </c>
      <c r="AO35">
        <v>152</v>
      </c>
      <c r="AP35">
        <v>-2.8753993610223643</v>
      </c>
      <c r="AQ35">
        <v>172.3</v>
      </c>
      <c r="AR35">
        <v>-13.504016064257019</v>
      </c>
      <c r="AS35">
        <v>164.5</v>
      </c>
      <c r="AT35">
        <v>120.6</v>
      </c>
      <c r="AU35">
        <v>171.7</v>
      </c>
      <c r="AV35">
        <v>169.7</v>
      </c>
      <c r="AW35">
        <v>175.1</v>
      </c>
      <c r="AX35">
        <v>165.8</v>
      </c>
      <c r="AY35">
        <v>195.8</v>
      </c>
      <c r="AZ35">
        <v>171.8</v>
      </c>
      <c r="BA35">
        <v>167.3</v>
      </c>
      <c r="BB35">
        <v>171.2</v>
      </c>
      <c r="BC35">
        <v>163.9</v>
      </c>
      <c r="BD35">
        <v>139.2551</v>
      </c>
      <c r="BE35">
        <v>164.5</v>
      </c>
      <c r="BF35">
        <v>162.80000000000001</v>
      </c>
      <c r="BG35">
        <v>174</v>
      </c>
      <c r="BH35">
        <v>169.7</v>
      </c>
      <c r="BI35">
        <v>190.8</v>
      </c>
      <c r="BJ35">
        <v>166</v>
      </c>
      <c r="BK35">
        <v>167</v>
      </c>
      <c r="BM35">
        <v>165.6</v>
      </c>
      <c r="BN35">
        <v>160.1</v>
      </c>
      <c r="BP35">
        <v>325.7</v>
      </c>
      <c r="BQ35" s="2">
        <v>2.1964229683087364</v>
      </c>
    </row>
    <row r="36" spans="1:69" x14ac:dyDescent="0.35">
      <c r="A36" t="s">
        <v>32</v>
      </c>
      <c r="B36">
        <v>2019</v>
      </c>
      <c r="C36" t="s">
        <v>44</v>
      </c>
      <c r="D36">
        <v>153.6</v>
      </c>
      <c r="E36" s="2">
        <v>153.5</v>
      </c>
      <c r="F36">
        <v>132.19999999999999</v>
      </c>
      <c r="G36">
        <v>121.7</v>
      </c>
      <c r="H36">
        <v>142.80000000000001</v>
      </c>
      <c r="I36">
        <v>147</v>
      </c>
      <c r="AD36" t="s">
        <v>32</v>
      </c>
      <c r="AE36">
        <v>2021</v>
      </c>
      <c r="AF36" t="s">
        <v>45</v>
      </c>
      <c r="AG36">
        <v>151.6</v>
      </c>
      <c r="AH36" s="2">
        <v>2.849389416553588</v>
      </c>
      <c r="AI36">
        <v>202.2</v>
      </c>
      <c r="AJ36">
        <v>2.6395939086294358</v>
      </c>
      <c r="AK36">
        <v>180</v>
      </c>
      <c r="AL36">
        <v>1.9830028328611897</v>
      </c>
      <c r="AM36">
        <v>0.31387319522912743</v>
      </c>
      <c r="AN36">
        <v>160</v>
      </c>
      <c r="AO36">
        <v>158.30000000000001</v>
      </c>
      <c r="AP36">
        <v>4.1447368421052708</v>
      </c>
      <c r="AQ36">
        <v>219.5</v>
      </c>
      <c r="AR36">
        <v>27.394080092861277</v>
      </c>
      <c r="AS36">
        <v>164.2</v>
      </c>
      <c r="AT36">
        <v>121.9</v>
      </c>
      <c r="AU36">
        <v>168.2</v>
      </c>
      <c r="AV36">
        <v>156.5</v>
      </c>
      <c r="AW36">
        <v>178.2</v>
      </c>
      <c r="AX36">
        <v>172.2</v>
      </c>
      <c r="AY36">
        <v>173.5</v>
      </c>
      <c r="AZ36">
        <v>163.30000000000001</v>
      </c>
      <c r="BA36">
        <v>146.69999999999999</v>
      </c>
      <c r="BB36">
        <v>160.69999999999999</v>
      </c>
      <c r="BC36">
        <v>156</v>
      </c>
      <c r="BD36">
        <v>163.4</v>
      </c>
      <c r="BE36">
        <v>157.6</v>
      </c>
      <c r="BF36">
        <v>162.4</v>
      </c>
      <c r="BG36">
        <v>165.1</v>
      </c>
      <c r="BH36">
        <v>160.6</v>
      </c>
      <c r="BI36">
        <v>196.8</v>
      </c>
      <c r="BJ36">
        <v>157.80000000000001</v>
      </c>
      <c r="BK36">
        <v>165.2</v>
      </c>
      <c r="BM36">
        <v>161.69999999999999</v>
      </c>
      <c r="BN36">
        <v>151.80000000000001</v>
      </c>
      <c r="BP36">
        <v>313.5</v>
      </c>
      <c r="BQ36" s="2">
        <v>-3.7457783236106814</v>
      </c>
    </row>
    <row r="37" spans="1:69" x14ac:dyDescent="0.35">
      <c r="A37" t="s">
        <v>33</v>
      </c>
      <c r="B37">
        <v>2019</v>
      </c>
      <c r="C37" t="s">
        <v>44</v>
      </c>
      <c r="D37">
        <v>151.9</v>
      </c>
      <c r="E37" s="2">
        <v>153.5</v>
      </c>
      <c r="F37">
        <v>142.30000000000001</v>
      </c>
      <c r="G37">
        <v>126.6</v>
      </c>
      <c r="H37">
        <v>149.9</v>
      </c>
      <c r="I37">
        <v>148.6</v>
      </c>
      <c r="AD37" t="s">
        <v>33</v>
      </c>
      <c r="AE37">
        <v>2021</v>
      </c>
      <c r="AF37" t="s">
        <v>45</v>
      </c>
      <c r="AG37">
        <v>148.69999999999999</v>
      </c>
      <c r="AH37" s="2">
        <v>-1.9129287598944629</v>
      </c>
      <c r="AI37">
        <v>198.8</v>
      </c>
      <c r="AJ37">
        <v>-1.6815034619188811</v>
      </c>
      <c r="AK37">
        <v>177.9</v>
      </c>
      <c r="AL37">
        <v>-1.1666666666666634</v>
      </c>
      <c r="AM37">
        <v>0.12515644555693906</v>
      </c>
      <c r="AN37">
        <v>159.9</v>
      </c>
      <c r="AO37">
        <v>154.9</v>
      </c>
      <c r="AP37">
        <v>-2.1478205938092265</v>
      </c>
      <c r="AQ37">
        <v>188.3</v>
      </c>
      <c r="AR37">
        <v>-14.214123006833706</v>
      </c>
      <c r="AS37">
        <v>164.4</v>
      </c>
      <c r="AT37">
        <v>121</v>
      </c>
      <c r="AU37">
        <v>170.5</v>
      </c>
      <c r="AV37">
        <v>164.2</v>
      </c>
      <c r="AW37">
        <v>176.5</v>
      </c>
      <c r="AX37">
        <v>168.2</v>
      </c>
      <c r="AY37">
        <v>187.6</v>
      </c>
      <c r="AZ37">
        <v>168.5</v>
      </c>
      <c r="BA37">
        <v>158.69999999999999</v>
      </c>
      <c r="BB37">
        <v>167</v>
      </c>
      <c r="BC37">
        <v>160.19999999999999</v>
      </c>
      <c r="BD37">
        <v>163.4</v>
      </c>
      <c r="BE37">
        <v>160.6</v>
      </c>
      <c r="BF37">
        <v>162.6</v>
      </c>
      <c r="BG37">
        <v>170.6</v>
      </c>
      <c r="BH37">
        <v>164.4</v>
      </c>
      <c r="BI37">
        <v>192.4</v>
      </c>
      <c r="BJ37">
        <v>162</v>
      </c>
      <c r="BK37">
        <v>166.2</v>
      </c>
      <c r="BM37">
        <v>164.1</v>
      </c>
      <c r="BN37">
        <v>155.69999999999999</v>
      </c>
      <c r="BP37">
        <v>319.79999999999995</v>
      </c>
      <c r="BQ37" s="2">
        <v>2.0095693779904158</v>
      </c>
    </row>
    <row r="38" spans="1:69" x14ac:dyDescent="0.35">
      <c r="A38" t="s">
        <v>30</v>
      </c>
      <c r="B38">
        <v>2019</v>
      </c>
      <c r="C38" t="s">
        <v>45</v>
      </c>
      <c r="D38">
        <v>154.30000000000001</v>
      </c>
      <c r="E38" s="2">
        <v>139.2551</v>
      </c>
      <c r="F38">
        <v>149.9</v>
      </c>
      <c r="G38">
        <v>135</v>
      </c>
      <c r="H38">
        <v>154.80000000000001</v>
      </c>
      <c r="I38">
        <v>152.30000000000001</v>
      </c>
      <c r="AD38" t="s">
        <v>30</v>
      </c>
      <c r="AE38">
        <v>2022</v>
      </c>
      <c r="AF38" t="s">
        <v>31</v>
      </c>
      <c r="AG38">
        <v>148.30000000000001</v>
      </c>
      <c r="AH38" s="2">
        <v>-0.26899798251511586</v>
      </c>
      <c r="AI38">
        <v>196.9</v>
      </c>
      <c r="AJ38">
        <v>-0.95573440643863461</v>
      </c>
      <c r="AK38">
        <v>178</v>
      </c>
      <c r="AL38">
        <v>5.6211354693644917E-2</v>
      </c>
      <c r="AM38">
        <v>-6.2499999999996447E-2</v>
      </c>
      <c r="AN38">
        <v>160.5</v>
      </c>
      <c r="AO38">
        <v>151.19999999999999</v>
      </c>
      <c r="AP38">
        <v>-2.3886378308586296</v>
      </c>
      <c r="AQ38">
        <v>159.19999999999999</v>
      </c>
      <c r="AR38">
        <v>-15.454062665958586</v>
      </c>
      <c r="AS38">
        <v>164</v>
      </c>
      <c r="AT38">
        <v>119.3</v>
      </c>
      <c r="AU38">
        <v>173.3</v>
      </c>
      <c r="AV38">
        <v>169.8</v>
      </c>
      <c r="AW38">
        <v>175.8</v>
      </c>
      <c r="AX38">
        <v>164.1</v>
      </c>
      <c r="AY38">
        <v>192.6</v>
      </c>
      <c r="AZ38">
        <v>173.2</v>
      </c>
      <c r="BA38">
        <v>169.3</v>
      </c>
      <c r="BB38">
        <v>172.7</v>
      </c>
      <c r="BC38">
        <v>164.9</v>
      </c>
      <c r="BD38">
        <v>139.2551</v>
      </c>
      <c r="BE38">
        <v>164.9</v>
      </c>
      <c r="BF38">
        <v>163.19999999999999</v>
      </c>
      <c r="BG38">
        <v>174.7</v>
      </c>
      <c r="BH38">
        <v>169.9</v>
      </c>
      <c r="BI38">
        <v>190.7</v>
      </c>
      <c r="BJ38">
        <v>166.6</v>
      </c>
      <c r="BK38">
        <v>166.4</v>
      </c>
      <c r="BM38">
        <v>165.8</v>
      </c>
      <c r="BN38">
        <v>160.80000000000001</v>
      </c>
      <c r="BP38">
        <v>326.60000000000002</v>
      </c>
      <c r="BQ38" s="2">
        <v>2.1263289555972698</v>
      </c>
    </row>
    <row r="39" spans="1:69" x14ac:dyDescent="0.35">
      <c r="A39" t="s">
        <v>32</v>
      </c>
      <c r="B39">
        <v>2019</v>
      </c>
      <c r="C39" t="s">
        <v>45</v>
      </c>
      <c r="D39">
        <v>156.30000000000001</v>
      </c>
      <c r="E39" s="2">
        <v>152.80000000000001</v>
      </c>
      <c r="F39">
        <v>133.6</v>
      </c>
      <c r="G39">
        <v>125.2</v>
      </c>
      <c r="H39">
        <v>143.19999999999999</v>
      </c>
      <c r="I39">
        <v>148.30000000000001</v>
      </c>
      <c r="AD39" t="s">
        <v>32</v>
      </c>
      <c r="AE39">
        <v>2022</v>
      </c>
      <c r="AF39" t="s">
        <v>31</v>
      </c>
      <c r="AG39">
        <v>152.19999999999999</v>
      </c>
      <c r="AH39" s="2">
        <v>2.6298044504382849</v>
      </c>
      <c r="AI39">
        <v>202.1</v>
      </c>
      <c r="AJ39">
        <v>2.6409344845098977</v>
      </c>
      <c r="AK39">
        <v>180.1</v>
      </c>
      <c r="AL39">
        <v>1.1797752808988733</v>
      </c>
      <c r="AM39">
        <v>0.37523452157598142</v>
      </c>
      <c r="AN39">
        <v>160.4</v>
      </c>
      <c r="AO39">
        <v>156.5</v>
      </c>
      <c r="AP39">
        <v>3.5052910052910127</v>
      </c>
      <c r="AQ39">
        <v>203.6</v>
      </c>
      <c r="AR39">
        <v>27.88944723618091</v>
      </c>
      <c r="AS39">
        <v>163.80000000000001</v>
      </c>
      <c r="AT39">
        <v>121.3</v>
      </c>
      <c r="AU39">
        <v>169.8</v>
      </c>
      <c r="AV39">
        <v>156.6</v>
      </c>
      <c r="AW39">
        <v>179</v>
      </c>
      <c r="AX39">
        <v>170.3</v>
      </c>
      <c r="AY39">
        <v>171</v>
      </c>
      <c r="AZ39">
        <v>164.7</v>
      </c>
      <c r="BA39">
        <v>148.5</v>
      </c>
      <c r="BB39">
        <v>162.19999999999999</v>
      </c>
      <c r="BC39">
        <v>156.80000000000001</v>
      </c>
      <c r="BD39">
        <v>164.5</v>
      </c>
      <c r="BE39">
        <v>158.4</v>
      </c>
      <c r="BF39">
        <v>162.80000000000001</v>
      </c>
      <c r="BG39">
        <v>166.1</v>
      </c>
      <c r="BH39">
        <v>161</v>
      </c>
      <c r="BI39">
        <v>196.4</v>
      </c>
      <c r="BJ39">
        <v>158.6</v>
      </c>
      <c r="BK39">
        <v>165</v>
      </c>
      <c r="BM39">
        <v>161.6</v>
      </c>
      <c r="BN39">
        <v>152.69999999999999</v>
      </c>
      <c r="BP39">
        <v>314.29999999999995</v>
      </c>
      <c r="BQ39" s="2">
        <v>-3.7660747091243318</v>
      </c>
    </row>
    <row r="40" spans="1:69" x14ac:dyDescent="0.35">
      <c r="A40" t="s">
        <v>33</v>
      </c>
      <c r="B40">
        <v>2019</v>
      </c>
      <c r="C40" t="s">
        <v>45</v>
      </c>
      <c r="D40">
        <v>155</v>
      </c>
      <c r="E40" s="2">
        <v>152.80000000000001</v>
      </c>
      <c r="F40">
        <v>143.69999999999999</v>
      </c>
      <c r="G40">
        <v>129.80000000000001</v>
      </c>
      <c r="H40">
        <v>150.4</v>
      </c>
      <c r="I40">
        <v>150.4</v>
      </c>
      <c r="AD40" t="s">
        <v>33</v>
      </c>
      <c r="AE40">
        <v>2022</v>
      </c>
      <c r="AF40" t="s">
        <v>31</v>
      </c>
      <c r="AG40">
        <v>149.5</v>
      </c>
      <c r="AH40" s="2">
        <v>-1.7739816031537379</v>
      </c>
      <c r="AI40">
        <v>198.7</v>
      </c>
      <c r="AJ40">
        <v>-1.6823354774863957</v>
      </c>
      <c r="AK40">
        <v>178.8</v>
      </c>
      <c r="AL40">
        <v>-0.72182121043863567</v>
      </c>
      <c r="AM40">
        <v>-6.2305295950152217E-2</v>
      </c>
      <c r="AN40">
        <v>160.5</v>
      </c>
      <c r="AO40">
        <v>153.69999999999999</v>
      </c>
      <c r="AP40">
        <v>-1.7891373801917008</v>
      </c>
      <c r="AQ40">
        <v>174.3</v>
      </c>
      <c r="AR40">
        <v>-14.390962671905688</v>
      </c>
      <c r="AS40">
        <v>163.9</v>
      </c>
      <c r="AT40">
        <v>120</v>
      </c>
      <c r="AU40">
        <v>172.1</v>
      </c>
      <c r="AV40">
        <v>164.3</v>
      </c>
      <c r="AW40">
        <v>177.3</v>
      </c>
      <c r="AX40">
        <v>166.4</v>
      </c>
      <c r="AY40">
        <v>184.7</v>
      </c>
      <c r="AZ40">
        <v>169.9</v>
      </c>
      <c r="BA40">
        <v>160.69999999999999</v>
      </c>
      <c r="BB40">
        <v>168.5</v>
      </c>
      <c r="BC40">
        <v>161.1</v>
      </c>
      <c r="BD40">
        <v>164.5</v>
      </c>
      <c r="BE40">
        <v>161.19999999999999</v>
      </c>
      <c r="BF40">
        <v>163</v>
      </c>
      <c r="BG40">
        <v>171.4</v>
      </c>
      <c r="BH40">
        <v>164.7</v>
      </c>
      <c r="BI40">
        <v>192.2</v>
      </c>
      <c r="BJ40">
        <v>162.69999999999999</v>
      </c>
      <c r="BK40">
        <v>165.7</v>
      </c>
      <c r="BM40">
        <v>164.2</v>
      </c>
      <c r="BN40">
        <v>156.5</v>
      </c>
      <c r="BP40">
        <v>320.7</v>
      </c>
      <c r="BQ40" s="2">
        <v>2.0362710785873479</v>
      </c>
    </row>
    <row r="41" spans="1:69" x14ac:dyDescent="0.35">
      <c r="A41" t="s">
        <v>30</v>
      </c>
      <c r="B41">
        <v>2020</v>
      </c>
      <c r="C41" t="s">
        <v>31</v>
      </c>
      <c r="D41">
        <v>153</v>
      </c>
      <c r="E41" s="2">
        <v>139.2551</v>
      </c>
      <c r="F41">
        <v>150.4</v>
      </c>
      <c r="G41">
        <v>136.30000000000001</v>
      </c>
      <c r="H41">
        <v>155.69999999999999</v>
      </c>
      <c r="I41">
        <v>151.9</v>
      </c>
      <c r="AD41" t="s">
        <v>30</v>
      </c>
      <c r="AE41">
        <v>2022</v>
      </c>
      <c r="AF41" t="s">
        <v>34</v>
      </c>
      <c r="AG41">
        <v>148.80000000000001</v>
      </c>
      <c r="AH41" s="2">
        <v>-0.4682274247491563</v>
      </c>
      <c r="AI41">
        <v>198.1</v>
      </c>
      <c r="AJ41">
        <v>-0.30196275792651955</v>
      </c>
      <c r="AK41">
        <v>175.5</v>
      </c>
      <c r="AL41">
        <v>-1.8456375838926238</v>
      </c>
      <c r="AM41">
        <v>6.2344139650869268E-2</v>
      </c>
      <c r="AN41">
        <v>160.69999999999999</v>
      </c>
      <c r="AO41">
        <v>151.4</v>
      </c>
      <c r="AP41">
        <v>-1.4964216005204836</v>
      </c>
      <c r="AQ41">
        <v>155.19999999999999</v>
      </c>
      <c r="AR41">
        <v>-10.958118187033863</v>
      </c>
      <c r="AS41">
        <v>163.9</v>
      </c>
      <c r="AT41">
        <v>118.1</v>
      </c>
      <c r="AU41">
        <v>175.4</v>
      </c>
      <c r="AV41">
        <v>170.5</v>
      </c>
      <c r="AW41">
        <v>176.3</v>
      </c>
      <c r="AX41">
        <v>163.9</v>
      </c>
      <c r="AY41">
        <v>192.6</v>
      </c>
      <c r="AZ41">
        <v>174.1</v>
      </c>
      <c r="BA41">
        <v>171</v>
      </c>
      <c r="BB41">
        <v>173.7</v>
      </c>
      <c r="BC41">
        <v>165.7</v>
      </c>
      <c r="BD41">
        <v>139.2551</v>
      </c>
      <c r="BE41">
        <v>165.5</v>
      </c>
      <c r="BF41">
        <v>164.5</v>
      </c>
      <c r="BG41">
        <v>175.3</v>
      </c>
      <c r="BH41">
        <v>170.3</v>
      </c>
      <c r="BI41">
        <v>191.5</v>
      </c>
      <c r="BJ41">
        <v>167.3</v>
      </c>
      <c r="BK41">
        <v>166.7</v>
      </c>
      <c r="BM41">
        <v>167.4</v>
      </c>
      <c r="BN41">
        <v>161.19999999999999</v>
      </c>
      <c r="BP41">
        <v>328.6</v>
      </c>
      <c r="BQ41" s="2">
        <v>2.4633613969441952</v>
      </c>
    </row>
    <row r="42" spans="1:69" x14ac:dyDescent="0.35">
      <c r="A42" t="s">
        <v>32</v>
      </c>
      <c r="B42">
        <v>2020</v>
      </c>
      <c r="C42" t="s">
        <v>31</v>
      </c>
      <c r="D42">
        <v>154.4</v>
      </c>
      <c r="E42" s="2">
        <v>153.9</v>
      </c>
      <c r="F42">
        <v>135.1</v>
      </c>
      <c r="G42">
        <v>126.1</v>
      </c>
      <c r="H42">
        <v>143.80000000000001</v>
      </c>
      <c r="I42">
        <v>148.19999999999999</v>
      </c>
      <c r="AD42" t="s">
        <v>32</v>
      </c>
      <c r="AE42">
        <v>2022</v>
      </c>
      <c r="AF42" t="s">
        <v>34</v>
      </c>
      <c r="AG42">
        <v>152.5</v>
      </c>
      <c r="AH42" s="2">
        <v>2.4865591397849385</v>
      </c>
      <c r="AI42">
        <v>205.2</v>
      </c>
      <c r="AJ42">
        <v>3.5840484603735456</v>
      </c>
      <c r="AK42">
        <v>176.4</v>
      </c>
      <c r="AL42">
        <v>0.51282051282051599</v>
      </c>
      <c r="AM42">
        <v>0.12461059190030443</v>
      </c>
      <c r="AN42">
        <v>160.6</v>
      </c>
      <c r="AO42">
        <v>156.4</v>
      </c>
      <c r="AP42">
        <v>3.3025099075297222</v>
      </c>
      <c r="AQ42">
        <v>198</v>
      </c>
      <c r="AR42">
        <v>27.577319587628875</v>
      </c>
      <c r="AS42">
        <v>163.19999999999999</v>
      </c>
      <c r="AT42">
        <v>120.6</v>
      </c>
      <c r="AU42">
        <v>172.2</v>
      </c>
      <c r="AV42">
        <v>156.69999999999999</v>
      </c>
      <c r="AW42">
        <v>180</v>
      </c>
      <c r="AX42">
        <v>170.2</v>
      </c>
      <c r="AY42">
        <v>171.5</v>
      </c>
      <c r="AZ42">
        <v>165.7</v>
      </c>
      <c r="BA42">
        <v>150.4</v>
      </c>
      <c r="BB42">
        <v>163.4</v>
      </c>
      <c r="BC42">
        <v>157.4</v>
      </c>
      <c r="BD42">
        <v>165.5</v>
      </c>
      <c r="BE42">
        <v>159.5</v>
      </c>
      <c r="BF42">
        <v>164.2</v>
      </c>
      <c r="BG42">
        <v>167.2</v>
      </c>
      <c r="BH42">
        <v>162</v>
      </c>
      <c r="BI42">
        <v>196.5</v>
      </c>
      <c r="BJ42">
        <v>159.4</v>
      </c>
      <c r="BK42">
        <v>165.5</v>
      </c>
      <c r="BM42">
        <v>163</v>
      </c>
      <c r="BN42">
        <v>153.1</v>
      </c>
      <c r="BP42">
        <v>316.10000000000002</v>
      </c>
      <c r="BQ42" s="2">
        <v>-3.8040170419963477</v>
      </c>
    </row>
    <row r="43" spans="1:69" x14ac:dyDescent="0.35">
      <c r="A43" t="s">
        <v>33</v>
      </c>
      <c r="B43">
        <v>2020</v>
      </c>
      <c r="C43" t="s">
        <v>31</v>
      </c>
      <c r="D43">
        <v>153.5</v>
      </c>
      <c r="E43" s="2">
        <v>153.9</v>
      </c>
      <c r="F43">
        <v>144.6</v>
      </c>
      <c r="G43">
        <v>130.9</v>
      </c>
      <c r="H43">
        <v>151.19999999999999</v>
      </c>
      <c r="I43">
        <v>150.19999999999999</v>
      </c>
      <c r="AD43" t="s">
        <v>33</v>
      </c>
      <c r="AE43">
        <v>2022</v>
      </c>
      <c r="AF43" t="s">
        <v>34</v>
      </c>
      <c r="AG43">
        <v>150</v>
      </c>
      <c r="AH43" s="2">
        <v>-1.639344262295082</v>
      </c>
      <c r="AI43">
        <v>200.6</v>
      </c>
      <c r="AJ43">
        <v>-2.241715399610134</v>
      </c>
      <c r="AK43">
        <v>175.8</v>
      </c>
      <c r="AL43">
        <v>-0.34013605442176548</v>
      </c>
      <c r="AM43">
        <v>-6.2227753578092293E-2</v>
      </c>
      <c r="AN43">
        <v>160.69999999999999</v>
      </c>
      <c r="AO43">
        <v>153.69999999999999</v>
      </c>
      <c r="AP43">
        <v>-1.7263427109974534</v>
      </c>
      <c r="AQ43">
        <v>169.7</v>
      </c>
      <c r="AR43">
        <v>-14.292929292929299</v>
      </c>
      <c r="AS43">
        <v>163.69999999999999</v>
      </c>
      <c r="AT43">
        <v>118.9</v>
      </c>
      <c r="AU43">
        <v>174.3</v>
      </c>
      <c r="AV43">
        <v>164.7</v>
      </c>
      <c r="AW43">
        <v>178</v>
      </c>
      <c r="AX43">
        <v>166.2</v>
      </c>
      <c r="AY43">
        <v>184.9</v>
      </c>
      <c r="AZ43">
        <v>170.8</v>
      </c>
      <c r="BA43">
        <v>162.4</v>
      </c>
      <c r="BB43">
        <v>169.6</v>
      </c>
      <c r="BC43">
        <v>161.80000000000001</v>
      </c>
      <c r="BD43">
        <v>165.5</v>
      </c>
      <c r="BE43">
        <v>162.1</v>
      </c>
      <c r="BF43">
        <v>164.4</v>
      </c>
      <c r="BG43">
        <v>172.2</v>
      </c>
      <c r="BH43">
        <v>165.4</v>
      </c>
      <c r="BI43">
        <v>192.8</v>
      </c>
      <c r="BJ43">
        <v>163.5</v>
      </c>
      <c r="BK43">
        <v>166.1</v>
      </c>
      <c r="BM43">
        <v>165.7</v>
      </c>
      <c r="BN43">
        <v>156.9</v>
      </c>
      <c r="BP43">
        <v>322.60000000000002</v>
      </c>
      <c r="BQ43" s="2">
        <v>2.0563112938943373</v>
      </c>
    </row>
    <row r="44" spans="1:69" x14ac:dyDescent="0.35">
      <c r="A44" t="s">
        <v>30</v>
      </c>
      <c r="B44">
        <v>2020</v>
      </c>
      <c r="C44" t="s">
        <v>34</v>
      </c>
      <c r="D44">
        <v>149.80000000000001</v>
      </c>
      <c r="E44" s="2">
        <v>139.2551</v>
      </c>
      <c r="F44">
        <v>152.30000000000001</v>
      </c>
      <c r="G44">
        <v>136</v>
      </c>
      <c r="H44">
        <v>156.19999999999999</v>
      </c>
      <c r="I44">
        <v>150.4</v>
      </c>
      <c r="AD44" t="s">
        <v>30</v>
      </c>
      <c r="AE44">
        <v>2022</v>
      </c>
      <c r="AF44" t="s">
        <v>35</v>
      </c>
      <c r="AG44">
        <v>150.19999999999999</v>
      </c>
      <c r="AH44" s="2">
        <v>0.13333333333332575</v>
      </c>
      <c r="AI44">
        <v>208</v>
      </c>
      <c r="AJ44">
        <v>3.6889332003988065</v>
      </c>
      <c r="AK44">
        <v>167.9</v>
      </c>
      <c r="AL44">
        <v>-4.4937428896473293</v>
      </c>
      <c r="AM44">
        <v>6.2266500622661473E-2</v>
      </c>
      <c r="AN44">
        <v>162</v>
      </c>
      <c r="AO44">
        <v>155.9</v>
      </c>
      <c r="AP44">
        <v>1.4313597918022234</v>
      </c>
      <c r="AQ44">
        <v>155.80000000000001</v>
      </c>
      <c r="AR44">
        <v>-8.1909251620506645</v>
      </c>
      <c r="AS44">
        <v>164.2</v>
      </c>
      <c r="AT44">
        <v>118.1</v>
      </c>
      <c r="AU44">
        <v>178.7</v>
      </c>
      <c r="AV44">
        <v>171.2</v>
      </c>
      <c r="AW44">
        <v>177.4</v>
      </c>
      <c r="AX44">
        <v>166.6</v>
      </c>
      <c r="AY44">
        <v>203.1</v>
      </c>
      <c r="AZ44">
        <v>175.4</v>
      </c>
      <c r="BA44">
        <v>173.2</v>
      </c>
      <c r="BB44">
        <v>175.1</v>
      </c>
      <c r="BC44">
        <v>166.5</v>
      </c>
      <c r="BD44">
        <v>139.2551</v>
      </c>
      <c r="BE44">
        <v>166.6</v>
      </c>
      <c r="BF44">
        <v>167.4</v>
      </c>
      <c r="BG44">
        <v>176</v>
      </c>
      <c r="BH44">
        <v>170.6</v>
      </c>
      <c r="BI44">
        <v>192.3</v>
      </c>
      <c r="BJ44">
        <v>168.3</v>
      </c>
      <c r="BK44">
        <v>168.7</v>
      </c>
      <c r="BM44">
        <v>168.9</v>
      </c>
      <c r="BN44">
        <v>162</v>
      </c>
      <c r="BP44">
        <v>330.9</v>
      </c>
      <c r="BQ44" s="2">
        <v>2.5728456292622299</v>
      </c>
    </row>
    <row r="45" spans="1:69" x14ac:dyDescent="0.35">
      <c r="A45" t="s">
        <v>32</v>
      </c>
      <c r="B45">
        <v>2020</v>
      </c>
      <c r="C45" t="s">
        <v>34</v>
      </c>
      <c r="D45">
        <v>151.69999999999999</v>
      </c>
      <c r="E45" s="2">
        <v>154.80000000000001</v>
      </c>
      <c r="F45">
        <v>138.9</v>
      </c>
      <c r="G45">
        <v>125.2</v>
      </c>
      <c r="H45">
        <v>144.4</v>
      </c>
      <c r="I45">
        <v>147.69999999999999</v>
      </c>
      <c r="AD45" t="s">
        <v>32</v>
      </c>
      <c r="AE45">
        <v>2022</v>
      </c>
      <c r="AF45" t="s">
        <v>35</v>
      </c>
      <c r="AG45">
        <v>153.69999999999999</v>
      </c>
      <c r="AH45" s="2">
        <v>2.3302263648468711</v>
      </c>
      <c r="AI45">
        <v>215.8</v>
      </c>
      <c r="AJ45">
        <v>3.7500000000000053</v>
      </c>
      <c r="AK45">
        <v>167.7</v>
      </c>
      <c r="AL45">
        <v>-0.11911852293032582</v>
      </c>
      <c r="AM45">
        <v>0.80896079651525299</v>
      </c>
      <c r="AN45">
        <v>162.6</v>
      </c>
      <c r="AO45">
        <v>159.6</v>
      </c>
      <c r="AP45">
        <v>2.3733162283514999</v>
      </c>
      <c r="AQ45">
        <v>188.4</v>
      </c>
      <c r="AR45">
        <v>20.924261874197683</v>
      </c>
      <c r="AS45">
        <v>163.4</v>
      </c>
      <c r="AT45">
        <v>120.3</v>
      </c>
      <c r="AU45">
        <v>174.7</v>
      </c>
      <c r="AV45">
        <v>157.1</v>
      </c>
      <c r="AW45">
        <v>181.5</v>
      </c>
      <c r="AX45">
        <v>171.5</v>
      </c>
      <c r="AY45">
        <v>180</v>
      </c>
      <c r="AZ45">
        <v>167.1</v>
      </c>
      <c r="BA45">
        <v>152.6</v>
      </c>
      <c r="BB45">
        <v>164.9</v>
      </c>
      <c r="BC45">
        <v>158.6</v>
      </c>
      <c r="BD45">
        <v>165.3</v>
      </c>
      <c r="BE45">
        <v>160.80000000000001</v>
      </c>
      <c r="BF45">
        <v>166.8</v>
      </c>
      <c r="BG45">
        <v>168.2</v>
      </c>
      <c r="BH45">
        <v>162.69999999999999</v>
      </c>
      <c r="BI45">
        <v>197.5</v>
      </c>
      <c r="BJ45">
        <v>160.6</v>
      </c>
      <c r="BK45">
        <v>166.5</v>
      </c>
      <c r="BM45">
        <v>164.5</v>
      </c>
      <c r="BN45">
        <v>154.19999999999999</v>
      </c>
      <c r="BP45">
        <v>318.7</v>
      </c>
      <c r="BQ45" s="2">
        <v>-3.6869144756724053</v>
      </c>
    </row>
    <row r="46" spans="1:69" x14ac:dyDescent="0.35">
      <c r="A46" t="s">
        <v>33</v>
      </c>
      <c r="B46">
        <v>2020</v>
      </c>
      <c r="C46" t="s">
        <v>34</v>
      </c>
      <c r="D46">
        <v>150.5</v>
      </c>
      <c r="E46" s="2">
        <v>154.80000000000001</v>
      </c>
      <c r="F46">
        <v>147.19999999999999</v>
      </c>
      <c r="G46">
        <v>130.30000000000001</v>
      </c>
      <c r="H46">
        <v>151.69999999999999</v>
      </c>
      <c r="I46">
        <v>149.1</v>
      </c>
      <c r="AD46" t="s">
        <v>33</v>
      </c>
      <c r="AE46">
        <v>2022</v>
      </c>
      <c r="AF46" t="s">
        <v>35</v>
      </c>
      <c r="AG46">
        <v>151.30000000000001</v>
      </c>
      <c r="AH46" s="2">
        <v>-1.5614834092387622</v>
      </c>
      <c r="AI46">
        <v>210.7</v>
      </c>
      <c r="AJ46">
        <v>-2.3632993512511686</v>
      </c>
      <c r="AK46">
        <v>167.8</v>
      </c>
      <c r="AL46">
        <v>5.9630292188445282E-2</v>
      </c>
      <c r="AM46">
        <v>0.37037037037036685</v>
      </c>
      <c r="AN46">
        <v>162.19999999999999</v>
      </c>
      <c r="AO46">
        <v>157.6</v>
      </c>
      <c r="AP46">
        <v>-1.2531328320802007</v>
      </c>
      <c r="AQ46">
        <v>166.9</v>
      </c>
      <c r="AR46">
        <v>-11.411889596602972</v>
      </c>
      <c r="AS46">
        <v>163.9</v>
      </c>
      <c r="AT46">
        <v>118.8</v>
      </c>
      <c r="AU46">
        <v>177.4</v>
      </c>
      <c r="AV46">
        <v>165.3</v>
      </c>
      <c r="AW46">
        <v>179.3</v>
      </c>
      <c r="AX46">
        <v>168.4</v>
      </c>
      <c r="AY46">
        <v>194.6</v>
      </c>
      <c r="AZ46">
        <v>172.1</v>
      </c>
      <c r="BA46">
        <v>164.6</v>
      </c>
      <c r="BB46">
        <v>171.1</v>
      </c>
      <c r="BC46">
        <v>162.80000000000001</v>
      </c>
      <c r="BD46">
        <v>165.3</v>
      </c>
      <c r="BE46">
        <v>163.30000000000001</v>
      </c>
      <c r="BF46">
        <v>167.2</v>
      </c>
      <c r="BG46">
        <v>173</v>
      </c>
      <c r="BH46">
        <v>166</v>
      </c>
      <c r="BI46">
        <v>193.7</v>
      </c>
      <c r="BJ46">
        <v>164.6</v>
      </c>
      <c r="BK46">
        <v>167.7</v>
      </c>
      <c r="BM46">
        <v>167.2</v>
      </c>
      <c r="BN46">
        <v>157.9</v>
      </c>
      <c r="BP46">
        <v>325.10000000000002</v>
      </c>
      <c r="BQ46" s="2">
        <v>2.0081581424537287</v>
      </c>
    </row>
    <row r="47" spans="1:69" x14ac:dyDescent="0.35">
      <c r="A47" t="s">
        <v>30</v>
      </c>
      <c r="B47">
        <v>2020</v>
      </c>
      <c r="C47" t="s">
        <v>35</v>
      </c>
      <c r="D47">
        <v>148.19999999999999</v>
      </c>
      <c r="E47" s="2">
        <v>139.2551</v>
      </c>
      <c r="F47">
        <v>153.4</v>
      </c>
      <c r="G47">
        <v>135.80000000000001</v>
      </c>
      <c r="H47">
        <v>156.69999999999999</v>
      </c>
      <c r="I47">
        <v>149.80000000000001</v>
      </c>
      <c r="AD47" t="s">
        <v>30</v>
      </c>
      <c r="AE47">
        <v>2022</v>
      </c>
      <c r="AF47" t="s">
        <v>36</v>
      </c>
      <c r="AG47">
        <v>151.80000000000001</v>
      </c>
      <c r="AH47" s="2">
        <v>0.33046926635822865</v>
      </c>
      <c r="AI47">
        <v>209.7</v>
      </c>
      <c r="AJ47">
        <v>-0.47460844803037494</v>
      </c>
      <c r="AK47">
        <v>164.5</v>
      </c>
      <c r="AL47">
        <v>-1.9666269368295657</v>
      </c>
      <c r="AM47">
        <v>-0.24600246002460377</v>
      </c>
      <c r="AN47">
        <v>163.80000000000001</v>
      </c>
      <c r="AO47">
        <v>169.7</v>
      </c>
      <c r="AP47">
        <v>7.6776649746192858</v>
      </c>
      <c r="AQ47">
        <v>153.6</v>
      </c>
      <c r="AR47">
        <v>-7.9688436189334997</v>
      </c>
      <c r="AS47">
        <v>165.1</v>
      </c>
      <c r="AT47">
        <v>118.2</v>
      </c>
      <c r="AU47">
        <v>182.9</v>
      </c>
      <c r="AV47">
        <v>172.4</v>
      </c>
      <c r="AW47">
        <v>178.9</v>
      </c>
      <c r="AX47">
        <v>168.6</v>
      </c>
      <c r="AY47">
        <v>207.4</v>
      </c>
      <c r="AZ47">
        <v>177.5</v>
      </c>
      <c r="BA47">
        <v>175.1</v>
      </c>
      <c r="BB47">
        <v>177.1</v>
      </c>
      <c r="BC47">
        <v>167.7</v>
      </c>
      <c r="BD47">
        <v>139.2551</v>
      </c>
      <c r="BE47">
        <v>167.2</v>
      </c>
      <c r="BF47">
        <v>169</v>
      </c>
      <c r="BG47">
        <v>177</v>
      </c>
      <c r="BH47">
        <v>170.9</v>
      </c>
      <c r="BI47">
        <v>192.8</v>
      </c>
      <c r="BJ47">
        <v>170.2</v>
      </c>
      <c r="BK47">
        <v>170.8</v>
      </c>
      <c r="BM47">
        <v>173.3</v>
      </c>
      <c r="BN47">
        <v>166.2</v>
      </c>
      <c r="BP47">
        <v>339.5</v>
      </c>
      <c r="BQ47" s="2">
        <v>4.4294063365118355</v>
      </c>
    </row>
    <row r="48" spans="1:69" x14ac:dyDescent="0.35">
      <c r="A48" t="s">
        <v>32</v>
      </c>
      <c r="B48">
        <v>2020</v>
      </c>
      <c r="C48" t="s">
        <v>35</v>
      </c>
      <c r="D48">
        <v>150.1</v>
      </c>
      <c r="E48" s="2">
        <v>154.5</v>
      </c>
      <c r="F48">
        <v>141.4</v>
      </c>
      <c r="G48">
        <v>124.6</v>
      </c>
      <c r="H48">
        <v>145</v>
      </c>
      <c r="I48">
        <v>147.30000000000001</v>
      </c>
      <c r="AD48" t="s">
        <v>32</v>
      </c>
      <c r="AE48">
        <v>2022</v>
      </c>
      <c r="AF48" t="s">
        <v>36</v>
      </c>
      <c r="AG48">
        <v>155.4</v>
      </c>
      <c r="AH48" s="2">
        <v>2.3715415019762807</v>
      </c>
      <c r="AI48">
        <v>215.8</v>
      </c>
      <c r="AJ48">
        <v>2.9089175011921902</v>
      </c>
      <c r="AK48">
        <v>164.6</v>
      </c>
      <c r="AL48">
        <v>6.0790273556227549E-2</v>
      </c>
      <c r="AM48">
        <v>0.98643649815044565</v>
      </c>
      <c r="AN48">
        <v>164.2</v>
      </c>
      <c r="AO48">
        <v>175.9</v>
      </c>
      <c r="AP48">
        <v>3.6535061873895214</v>
      </c>
      <c r="AQ48">
        <v>190.7</v>
      </c>
      <c r="AR48">
        <v>24.153645833333332</v>
      </c>
      <c r="AS48">
        <v>164</v>
      </c>
      <c r="AT48">
        <v>120.5</v>
      </c>
      <c r="AU48">
        <v>178</v>
      </c>
      <c r="AV48">
        <v>157.5</v>
      </c>
      <c r="AW48">
        <v>183.3</v>
      </c>
      <c r="AX48">
        <v>174.5</v>
      </c>
      <c r="AY48">
        <v>186</v>
      </c>
      <c r="AZ48">
        <v>168.4</v>
      </c>
      <c r="BA48">
        <v>154.5</v>
      </c>
      <c r="BB48">
        <v>166.3</v>
      </c>
      <c r="BC48">
        <v>159.80000000000001</v>
      </c>
      <c r="BD48">
        <v>167</v>
      </c>
      <c r="BE48">
        <v>162.19999999999999</v>
      </c>
      <c r="BF48">
        <v>168.4</v>
      </c>
      <c r="BG48">
        <v>169</v>
      </c>
      <c r="BH48">
        <v>164</v>
      </c>
      <c r="BI48">
        <v>197.1</v>
      </c>
      <c r="BJ48">
        <v>163.1</v>
      </c>
      <c r="BK48">
        <v>169.2</v>
      </c>
      <c r="BM48">
        <v>170.5</v>
      </c>
      <c r="BN48">
        <v>159.30000000000001</v>
      </c>
      <c r="BP48">
        <v>329.8</v>
      </c>
      <c r="BQ48" s="2">
        <v>-2.8571428571428541</v>
      </c>
    </row>
    <row r="49" spans="1:69" x14ac:dyDescent="0.35">
      <c r="A49" t="s">
        <v>33</v>
      </c>
      <c r="B49">
        <v>2020</v>
      </c>
      <c r="C49" t="s">
        <v>35</v>
      </c>
      <c r="D49">
        <v>148.9</v>
      </c>
      <c r="E49" s="2">
        <v>154.5</v>
      </c>
      <c r="F49">
        <v>148.9</v>
      </c>
      <c r="G49">
        <v>129.9</v>
      </c>
      <c r="H49">
        <v>152.30000000000001</v>
      </c>
      <c r="I49">
        <v>148.6</v>
      </c>
      <c r="AD49" t="s">
        <v>33</v>
      </c>
      <c r="AE49">
        <v>2022</v>
      </c>
      <c r="AF49" t="s">
        <v>36</v>
      </c>
      <c r="AG49">
        <v>152.9</v>
      </c>
      <c r="AH49" s="2">
        <v>-1.6087516087516087</v>
      </c>
      <c r="AI49">
        <v>211.8</v>
      </c>
      <c r="AJ49">
        <v>-1.8535681186283595</v>
      </c>
      <c r="AK49">
        <v>164.5</v>
      </c>
      <c r="AL49">
        <v>-6.0753341433775407E-2</v>
      </c>
      <c r="AM49">
        <v>0.24420024420023032</v>
      </c>
      <c r="AN49">
        <v>163.9</v>
      </c>
      <c r="AO49">
        <v>172.6</v>
      </c>
      <c r="AP49">
        <v>-1.8760659465605523</v>
      </c>
      <c r="AQ49">
        <v>166.2</v>
      </c>
      <c r="AR49">
        <v>-12.847404299947563</v>
      </c>
      <c r="AS49">
        <v>164.7</v>
      </c>
      <c r="AT49">
        <v>119</v>
      </c>
      <c r="AU49">
        <v>181.3</v>
      </c>
      <c r="AV49">
        <v>166.2</v>
      </c>
      <c r="AW49">
        <v>180.9</v>
      </c>
      <c r="AX49">
        <v>170.8</v>
      </c>
      <c r="AY49">
        <v>199.5</v>
      </c>
      <c r="AZ49">
        <v>173.9</v>
      </c>
      <c r="BA49">
        <v>166.5</v>
      </c>
      <c r="BB49">
        <v>172.8</v>
      </c>
      <c r="BC49">
        <v>164</v>
      </c>
      <c r="BD49">
        <v>167</v>
      </c>
      <c r="BE49">
        <v>164.4</v>
      </c>
      <c r="BF49">
        <v>168.8</v>
      </c>
      <c r="BG49">
        <v>174</v>
      </c>
      <c r="BH49">
        <v>166.9</v>
      </c>
      <c r="BI49">
        <v>193.9</v>
      </c>
      <c r="BJ49">
        <v>166.8</v>
      </c>
      <c r="BK49">
        <v>170.1</v>
      </c>
      <c r="BM49">
        <v>172.2</v>
      </c>
      <c r="BN49">
        <v>162.6</v>
      </c>
      <c r="BP49">
        <v>334.79999999999995</v>
      </c>
      <c r="BQ49" s="2">
        <v>1.5160703456640214</v>
      </c>
    </row>
    <row r="50" spans="1:69" x14ac:dyDescent="0.35">
      <c r="A50" t="s">
        <v>30</v>
      </c>
      <c r="B50">
        <v>2020</v>
      </c>
      <c r="C50" t="s">
        <v>36</v>
      </c>
      <c r="D50">
        <v>150.1</v>
      </c>
      <c r="E50" s="2">
        <v>139.2551</v>
      </c>
      <c r="F50">
        <v>148.4</v>
      </c>
      <c r="G50" s="2">
        <v>146.05168831168831</v>
      </c>
      <c r="H50">
        <v>154.30000000000001</v>
      </c>
      <c r="I50" s="2">
        <v>155.20493506493509</v>
      </c>
      <c r="AD50" t="s">
        <v>30</v>
      </c>
      <c r="AE50">
        <v>2022</v>
      </c>
      <c r="AF50" t="s">
        <v>37</v>
      </c>
      <c r="AG50">
        <v>152.9</v>
      </c>
      <c r="AH50" s="2">
        <v>0</v>
      </c>
      <c r="AI50">
        <v>214.7</v>
      </c>
      <c r="AJ50">
        <v>1.3692162417374774</v>
      </c>
      <c r="AK50">
        <v>161.4</v>
      </c>
      <c r="AL50">
        <v>-1.8844984802431575</v>
      </c>
      <c r="AM50">
        <v>-0.18270401948841836</v>
      </c>
      <c r="AN50">
        <v>164.6</v>
      </c>
      <c r="AO50">
        <v>168</v>
      </c>
      <c r="AP50">
        <v>-2.6651216685979113</v>
      </c>
      <c r="AQ50">
        <v>160.4</v>
      </c>
      <c r="AR50">
        <v>-3.4897713598074511</v>
      </c>
      <c r="AS50">
        <v>165</v>
      </c>
      <c r="AT50">
        <v>118.9</v>
      </c>
      <c r="AU50">
        <v>186.6</v>
      </c>
      <c r="AV50">
        <v>173.2</v>
      </c>
      <c r="AW50">
        <v>180.4</v>
      </c>
      <c r="AX50">
        <v>170.8</v>
      </c>
      <c r="AY50">
        <v>209.9</v>
      </c>
      <c r="AZ50">
        <v>179.3</v>
      </c>
      <c r="BA50">
        <v>177.2</v>
      </c>
      <c r="BB50">
        <v>179</v>
      </c>
      <c r="BC50">
        <v>168.9</v>
      </c>
      <c r="BD50">
        <v>139.2551</v>
      </c>
      <c r="BE50">
        <v>167.6</v>
      </c>
      <c r="BF50">
        <v>168.5</v>
      </c>
      <c r="BG50">
        <v>177.7</v>
      </c>
      <c r="BH50">
        <v>171.8</v>
      </c>
      <c r="BI50">
        <v>192.9</v>
      </c>
      <c r="BJ50">
        <v>170.9</v>
      </c>
      <c r="BK50">
        <v>172.5</v>
      </c>
      <c r="BM50">
        <v>175.3</v>
      </c>
      <c r="BN50">
        <v>167.1</v>
      </c>
      <c r="BP50">
        <v>342.4</v>
      </c>
      <c r="BQ50" s="2">
        <v>2.2700119474313092</v>
      </c>
    </row>
    <row r="51" spans="1:69" x14ac:dyDescent="0.35">
      <c r="A51" t="s">
        <v>32</v>
      </c>
      <c r="B51">
        <v>2020</v>
      </c>
      <c r="C51" t="s">
        <v>36</v>
      </c>
      <c r="D51">
        <v>153.5</v>
      </c>
      <c r="E51" s="2">
        <v>155.6</v>
      </c>
      <c r="F51">
        <v>137.1</v>
      </c>
      <c r="G51" s="2">
        <v>136.56181818181815</v>
      </c>
      <c r="H51">
        <v>144.80000000000001</v>
      </c>
      <c r="I51">
        <v>139.6</v>
      </c>
      <c r="AD51" t="s">
        <v>32</v>
      </c>
      <c r="AE51">
        <v>2022</v>
      </c>
      <c r="AF51" t="s">
        <v>37</v>
      </c>
      <c r="AG51">
        <v>156.69999999999999</v>
      </c>
      <c r="AH51" s="2">
        <v>2.4852844996729777</v>
      </c>
      <c r="AI51">
        <v>221.2</v>
      </c>
      <c r="AJ51">
        <v>3.0274802049371221</v>
      </c>
      <c r="AK51">
        <v>164.1</v>
      </c>
      <c r="AL51">
        <v>1.6728624535315915</v>
      </c>
      <c r="AM51">
        <v>0.42708968883464826</v>
      </c>
      <c r="AN51">
        <v>165.4</v>
      </c>
      <c r="AO51">
        <v>174.5</v>
      </c>
      <c r="AP51">
        <v>3.8690476190476191</v>
      </c>
      <c r="AQ51">
        <v>203.2</v>
      </c>
      <c r="AR51">
        <v>26.683291770573554</v>
      </c>
      <c r="AS51">
        <v>164.1</v>
      </c>
      <c r="AT51">
        <v>121.2</v>
      </c>
      <c r="AU51">
        <v>181.4</v>
      </c>
      <c r="AV51">
        <v>158.5</v>
      </c>
      <c r="AW51">
        <v>184.9</v>
      </c>
      <c r="AX51">
        <v>177.5</v>
      </c>
      <c r="AY51">
        <v>189.5</v>
      </c>
      <c r="AZ51">
        <v>170</v>
      </c>
      <c r="BA51">
        <v>155.9</v>
      </c>
      <c r="BB51">
        <v>167.8</v>
      </c>
      <c r="BC51">
        <v>161.1</v>
      </c>
      <c r="BD51">
        <v>167.5</v>
      </c>
      <c r="BE51">
        <v>163.19999999999999</v>
      </c>
      <c r="BF51">
        <v>168.2</v>
      </c>
      <c r="BG51">
        <v>170.1</v>
      </c>
      <c r="BH51">
        <v>165.2</v>
      </c>
      <c r="BI51">
        <v>197.5</v>
      </c>
      <c r="BJ51">
        <v>163.80000000000001</v>
      </c>
      <c r="BK51">
        <v>170.8</v>
      </c>
      <c r="BM51">
        <v>173.5</v>
      </c>
      <c r="BN51">
        <v>159.4</v>
      </c>
      <c r="BP51">
        <v>332.9</v>
      </c>
      <c r="BQ51" s="2">
        <v>-2.7745327102803743</v>
      </c>
    </row>
    <row r="52" spans="1:69" x14ac:dyDescent="0.35">
      <c r="A52" t="s">
        <v>33</v>
      </c>
      <c r="B52">
        <v>2020</v>
      </c>
      <c r="C52" t="s">
        <v>36</v>
      </c>
      <c r="D52">
        <v>151.4</v>
      </c>
      <c r="E52" s="2">
        <v>155.6</v>
      </c>
      <c r="F52">
        <v>144.1</v>
      </c>
      <c r="G52" s="2">
        <v>141.05116883116881</v>
      </c>
      <c r="H52">
        <v>150.69999999999999</v>
      </c>
      <c r="I52">
        <v>139.6</v>
      </c>
      <c r="AD52" t="s">
        <v>33</v>
      </c>
      <c r="AE52">
        <v>2022</v>
      </c>
      <c r="AF52" t="s">
        <v>37</v>
      </c>
      <c r="AG52">
        <v>154.1</v>
      </c>
      <c r="AH52" s="2">
        <v>-1.6592214422463269</v>
      </c>
      <c r="AI52">
        <v>217</v>
      </c>
      <c r="AJ52">
        <v>-1.8987341772151847</v>
      </c>
      <c r="AK52">
        <v>162.4</v>
      </c>
      <c r="AL52">
        <v>-1.035953686776349</v>
      </c>
      <c r="AM52">
        <v>0.48602673147023778</v>
      </c>
      <c r="AN52">
        <v>164.9</v>
      </c>
      <c r="AO52">
        <v>171</v>
      </c>
      <c r="AP52">
        <v>-2.005730659025788</v>
      </c>
      <c r="AQ52">
        <v>174.9</v>
      </c>
      <c r="AR52">
        <v>-13.9271653543307</v>
      </c>
      <c r="AS52">
        <v>164.7</v>
      </c>
      <c r="AT52">
        <v>119.7</v>
      </c>
      <c r="AU52">
        <v>184.9</v>
      </c>
      <c r="AV52">
        <v>167.1</v>
      </c>
      <c r="AW52">
        <v>182.5</v>
      </c>
      <c r="AX52">
        <v>173.3</v>
      </c>
      <c r="AY52">
        <v>202.4</v>
      </c>
      <c r="AZ52">
        <v>175.6</v>
      </c>
      <c r="BA52">
        <v>168.4</v>
      </c>
      <c r="BB52">
        <v>174.6</v>
      </c>
      <c r="BC52">
        <v>165.2</v>
      </c>
      <c r="BD52">
        <v>167.5</v>
      </c>
      <c r="BE52">
        <v>165.1</v>
      </c>
      <c r="BF52">
        <v>168.4</v>
      </c>
      <c r="BG52">
        <v>174.8</v>
      </c>
      <c r="BH52">
        <v>167.9</v>
      </c>
      <c r="BI52">
        <v>194.1</v>
      </c>
      <c r="BJ52">
        <v>167.5</v>
      </c>
      <c r="BK52">
        <v>171.7</v>
      </c>
      <c r="BM52">
        <v>174.6</v>
      </c>
      <c r="BN52">
        <v>163</v>
      </c>
      <c r="BP52">
        <v>337.6</v>
      </c>
      <c r="BQ52" s="2">
        <v>1.411835386001816</v>
      </c>
    </row>
    <row r="53" spans="1:69" x14ac:dyDescent="0.35">
      <c r="A53" t="s">
        <v>30</v>
      </c>
      <c r="B53">
        <v>2020</v>
      </c>
      <c r="C53" t="s">
        <v>37</v>
      </c>
      <c r="D53" s="2">
        <v>147.55963636363632</v>
      </c>
      <c r="E53" s="2">
        <v>139.2551000000002</v>
      </c>
      <c r="F53" s="2">
        <v>147.44954545454542</v>
      </c>
      <c r="G53" s="2">
        <v>135.40060779220778</v>
      </c>
      <c r="H53" s="2">
        <v>149.02181818181819</v>
      </c>
      <c r="I53" s="2">
        <v>147.40686753246754</v>
      </c>
      <c r="AD53" t="s">
        <v>30</v>
      </c>
      <c r="AE53">
        <v>2022</v>
      </c>
      <c r="AF53" t="s">
        <v>38</v>
      </c>
      <c r="AG53">
        <v>153.80000000000001</v>
      </c>
      <c r="AH53" s="2">
        <v>-0.19467878001296754</v>
      </c>
      <c r="AI53">
        <v>217.2</v>
      </c>
      <c r="AJ53">
        <v>9.2165898617506278E-2</v>
      </c>
      <c r="AK53">
        <v>169.6</v>
      </c>
      <c r="AL53">
        <v>4.4334975369458052</v>
      </c>
      <c r="AM53">
        <v>-0.30229746070133012</v>
      </c>
      <c r="AN53">
        <v>165.4</v>
      </c>
      <c r="AO53">
        <v>165.8</v>
      </c>
      <c r="AP53">
        <v>-3.0409356725146131</v>
      </c>
      <c r="AQ53">
        <v>167.3</v>
      </c>
      <c r="AR53">
        <v>-4.3453401943967949</v>
      </c>
      <c r="AS53">
        <v>164.6</v>
      </c>
      <c r="AT53">
        <v>119.1</v>
      </c>
      <c r="AU53">
        <v>188.9</v>
      </c>
      <c r="AV53">
        <v>174.2</v>
      </c>
      <c r="AW53">
        <v>181.9</v>
      </c>
      <c r="AX53">
        <v>172.4</v>
      </c>
      <c r="AY53">
        <v>208.1</v>
      </c>
      <c r="AZ53">
        <v>180.7</v>
      </c>
      <c r="BA53">
        <v>178.7</v>
      </c>
      <c r="BB53">
        <v>180.4</v>
      </c>
      <c r="BC53">
        <v>170.3</v>
      </c>
      <c r="BD53">
        <v>139.2551</v>
      </c>
      <c r="BE53">
        <v>168</v>
      </c>
      <c r="BF53">
        <v>169.5</v>
      </c>
      <c r="BG53">
        <v>178.2</v>
      </c>
      <c r="BH53">
        <v>172.6</v>
      </c>
      <c r="BI53">
        <v>192.9</v>
      </c>
      <c r="BJ53">
        <v>171</v>
      </c>
      <c r="BK53">
        <v>173.6</v>
      </c>
      <c r="BM53">
        <v>176.7</v>
      </c>
      <c r="BN53">
        <v>165.5</v>
      </c>
      <c r="BP53">
        <v>342.2</v>
      </c>
      <c r="BQ53" s="2">
        <v>1.3625592417061509</v>
      </c>
    </row>
    <row r="54" spans="1:69" x14ac:dyDescent="0.35">
      <c r="A54" t="s">
        <v>32</v>
      </c>
      <c r="B54">
        <v>2020</v>
      </c>
      <c r="C54" t="s">
        <v>37</v>
      </c>
      <c r="D54" s="2">
        <v>149.75481818181817</v>
      </c>
      <c r="E54" s="2">
        <v>146.35563636363639</v>
      </c>
      <c r="F54" s="2">
        <v>137.03027272727275</v>
      </c>
      <c r="G54" s="2">
        <v>128.01325454545457</v>
      </c>
      <c r="H54" s="2">
        <v>141.42845454545454</v>
      </c>
      <c r="I54" s="2">
        <v>144.32418181818178</v>
      </c>
      <c r="AD54" t="s">
        <v>32</v>
      </c>
      <c r="AE54">
        <v>2022</v>
      </c>
      <c r="AF54" t="s">
        <v>38</v>
      </c>
      <c r="AG54">
        <v>157.5</v>
      </c>
      <c r="AH54" s="2">
        <v>2.4057217165149467</v>
      </c>
      <c r="AI54">
        <v>223.4</v>
      </c>
      <c r="AJ54">
        <v>2.854511970534078</v>
      </c>
      <c r="AK54">
        <v>172.8</v>
      </c>
      <c r="AL54">
        <v>1.8867924528301987</v>
      </c>
      <c r="AM54">
        <v>0.3032140691328078</v>
      </c>
      <c r="AN54">
        <v>166.4</v>
      </c>
      <c r="AO54">
        <v>174.1</v>
      </c>
      <c r="AP54">
        <v>5.0060313630880477</v>
      </c>
      <c r="AQ54">
        <v>211.5</v>
      </c>
      <c r="AR54">
        <v>26.419605499103398</v>
      </c>
      <c r="AS54">
        <v>163.6</v>
      </c>
      <c r="AT54">
        <v>121.4</v>
      </c>
      <c r="AU54">
        <v>183.5</v>
      </c>
      <c r="AV54">
        <v>159.1</v>
      </c>
      <c r="AW54">
        <v>186.3</v>
      </c>
      <c r="AX54">
        <v>179.3</v>
      </c>
      <c r="AY54">
        <v>188.6</v>
      </c>
      <c r="AZ54">
        <v>171.6</v>
      </c>
      <c r="BA54">
        <v>157.4</v>
      </c>
      <c r="BB54">
        <v>169.4</v>
      </c>
      <c r="BC54">
        <v>162.1</v>
      </c>
      <c r="BD54">
        <v>166.8</v>
      </c>
      <c r="BE54">
        <v>164.1</v>
      </c>
      <c r="BF54">
        <v>169.2</v>
      </c>
      <c r="BG54">
        <v>170.9</v>
      </c>
      <c r="BH54">
        <v>166.5</v>
      </c>
      <c r="BI54">
        <v>198.3</v>
      </c>
      <c r="BJ54">
        <v>163.80000000000001</v>
      </c>
      <c r="BK54">
        <v>171.4</v>
      </c>
      <c r="BM54">
        <v>174.9</v>
      </c>
      <c r="BN54">
        <v>157.19999999999999</v>
      </c>
      <c r="BP54">
        <v>332.1</v>
      </c>
      <c r="BQ54" s="2">
        <v>-2.951490356516647</v>
      </c>
    </row>
    <row r="55" spans="1:69" x14ac:dyDescent="0.35">
      <c r="A55" t="s">
        <v>33</v>
      </c>
      <c r="B55">
        <v>2020</v>
      </c>
      <c r="C55" t="s">
        <v>37</v>
      </c>
      <c r="D55" s="2">
        <v>148.36609090909087</v>
      </c>
      <c r="E55" s="2">
        <v>146.36163636363639</v>
      </c>
      <c r="F55" s="2">
        <v>143.52145454545459</v>
      </c>
      <c r="G55" s="2">
        <v>131.49442077922083</v>
      </c>
      <c r="H55" s="2">
        <v>146.14945454545449</v>
      </c>
      <c r="I55" s="2">
        <v>145.8998181818182</v>
      </c>
      <c r="AD55" t="s">
        <v>33</v>
      </c>
      <c r="AE55">
        <v>2022</v>
      </c>
      <c r="AF55" t="s">
        <v>38</v>
      </c>
      <c r="AG55">
        <v>155</v>
      </c>
      <c r="AH55" s="2">
        <v>-1.5873015873015872</v>
      </c>
      <c r="AI55">
        <v>219.4</v>
      </c>
      <c r="AJ55">
        <v>-1.7905102954341987</v>
      </c>
      <c r="AK55">
        <v>170.8</v>
      </c>
      <c r="AL55">
        <v>-1.1574074074074074</v>
      </c>
      <c r="AM55">
        <v>0.60459492140266025</v>
      </c>
      <c r="AN55">
        <v>165.8</v>
      </c>
      <c r="AO55">
        <v>169.7</v>
      </c>
      <c r="AP55">
        <v>-2.5272831705916174</v>
      </c>
      <c r="AQ55">
        <v>182.3</v>
      </c>
      <c r="AR55">
        <v>-13.806146572104014</v>
      </c>
      <c r="AS55">
        <v>164.3</v>
      </c>
      <c r="AT55">
        <v>119.9</v>
      </c>
      <c r="AU55">
        <v>187.1</v>
      </c>
      <c r="AV55">
        <v>167.9</v>
      </c>
      <c r="AW55">
        <v>183.9</v>
      </c>
      <c r="AX55">
        <v>174.9</v>
      </c>
      <c r="AY55">
        <v>200.9</v>
      </c>
      <c r="AZ55">
        <v>177.1</v>
      </c>
      <c r="BA55">
        <v>169.9</v>
      </c>
      <c r="BB55">
        <v>176</v>
      </c>
      <c r="BC55">
        <v>166.4</v>
      </c>
      <c r="BD55">
        <v>166.8</v>
      </c>
      <c r="BE55">
        <v>165.8</v>
      </c>
      <c r="BF55">
        <v>169.4</v>
      </c>
      <c r="BG55">
        <v>175.4</v>
      </c>
      <c r="BH55">
        <v>169</v>
      </c>
      <c r="BI55">
        <v>194.3</v>
      </c>
      <c r="BJ55">
        <v>167.5</v>
      </c>
      <c r="BK55">
        <v>172.6</v>
      </c>
      <c r="BM55">
        <v>176</v>
      </c>
      <c r="BN55">
        <v>161.1</v>
      </c>
      <c r="BP55">
        <v>337.1</v>
      </c>
      <c r="BQ55" s="2">
        <v>1.505570611261668</v>
      </c>
    </row>
    <row r="56" spans="1:69" x14ac:dyDescent="0.35">
      <c r="A56" t="s">
        <v>30</v>
      </c>
      <c r="B56">
        <v>2020</v>
      </c>
      <c r="C56" t="s">
        <v>38</v>
      </c>
      <c r="D56">
        <v>152.30000000000001</v>
      </c>
      <c r="E56" s="2">
        <v>139.2551</v>
      </c>
      <c r="F56">
        <v>144.9</v>
      </c>
      <c r="G56">
        <v>141.4</v>
      </c>
      <c r="H56">
        <v>158.19999999999999</v>
      </c>
      <c r="I56">
        <v>152.69999999999999</v>
      </c>
      <c r="AD56" t="s">
        <v>30</v>
      </c>
      <c r="AE56">
        <v>2022</v>
      </c>
      <c r="AF56" t="s">
        <v>39</v>
      </c>
      <c r="AG56">
        <v>155.19999999999999</v>
      </c>
      <c r="AH56" s="2">
        <v>0.1290322580645088</v>
      </c>
      <c r="AI56">
        <v>210.8</v>
      </c>
      <c r="AJ56">
        <v>-3.9197812215132153</v>
      </c>
      <c r="AK56">
        <v>174.3</v>
      </c>
      <c r="AL56">
        <v>2.0491803278688523</v>
      </c>
      <c r="AM56">
        <v>-0.36057692307691963</v>
      </c>
      <c r="AN56">
        <v>166.3</v>
      </c>
      <c r="AO56">
        <v>169.6</v>
      </c>
      <c r="AP56">
        <v>-5.8927519151440386E-2</v>
      </c>
      <c r="AQ56">
        <v>168.6</v>
      </c>
      <c r="AR56">
        <v>-7.5150850246845948</v>
      </c>
      <c r="AS56">
        <v>164.4</v>
      </c>
      <c r="AT56">
        <v>119.2</v>
      </c>
      <c r="AU56">
        <v>191.8</v>
      </c>
      <c r="AV56">
        <v>174.5</v>
      </c>
      <c r="AW56">
        <v>183.1</v>
      </c>
      <c r="AX56">
        <v>172.5</v>
      </c>
      <c r="AY56">
        <v>202.2</v>
      </c>
      <c r="AZ56">
        <v>182</v>
      </c>
      <c r="BA56">
        <v>180.3</v>
      </c>
      <c r="BB56">
        <v>181.7</v>
      </c>
      <c r="BC56">
        <v>171.3</v>
      </c>
      <c r="BD56">
        <v>139.2551</v>
      </c>
      <c r="BE56">
        <v>168.6</v>
      </c>
      <c r="BF56">
        <v>169.7</v>
      </c>
      <c r="BG56">
        <v>178.8</v>
      </c>
      <c r="BH56">
        <v>174.7</v>
      </c>
      <c r="BI56">
        <v>193.2</v>
      </c>
      <c r="BJ56">
        <v>171.8</v>
      </c>
      <c r="BK56">
        <v>174.3</v>
      </c>
      <c r="BM56">
        <v>179.6</v>
      </c>
      <c r="BN56">
        <v>166.3</v>
      </c>
      <c r="BP56">
        <v>345.9</v>
      </c>
      <c r="BQ56" s="2">
        <v>2.6105013349154418</v>
      </c>
    </row>
    <row r="57" spans="1:69" x14ac:dyDescent="0.35">
      <c r="A57" t="s">
        <v>32</v>
      </c>
      <c r="B57">
        <v>2020</v>
      </c>
      <c r="C57" t="s">
        <v>38</v>
      </c>
      <c r="D57">
        <v>157</v>
      </c>
      <c r="E57" s="2">
        <v>154.69999999999999</v>
      </c>
      <c r="F57">
        <v>137.1</v>
      </c>
      <c r="G57">
        <v>129.30000000000001</v>
      </c>
      <c r="H57">
        <v>148.1</v>
      </c>
      <c r="I57">
        <v>150.80000000000001</v>
      </c>
      <c r="AD57" t="s">
        <v>32</v>
      </c>
      <c r="AE57">
        <v>2022</v>
      </c>
      <c r="AF57" t="s">
        <v>39</v>
      </c>
      <c r="AG57">
        <v>159.30000000000001</v>
      </c>
      <c r="AH57" s="2">
        <v>2.6417525773196027</v>
      </c>
      <c r="AI57">
        <v>217.1</v>
      </c>
      <c r="AJ57">
        <v>2.988614800759005</v>
      </c>
      <c r="AK57">
        <v>176.6</v>
      </c>
      <c r="AL57">
        <v>1.3195639701663699</v>
      </c>
      <c r="AM57">
        <v>0.30156815440289503</v>
      </c>
      <c r="AN57">
        <v>167.1</v>
      </c>
      <c r="AO57">
        <v>179.5</v>
      </c>
      <c r="AP57">
        <v>5.8372641509433993</v>
      </c>
      <c r="AQ57">
        <v>208.5</v>
      </c>
      <c r="AR57">
        <v>23.665480427046269</v>
      </c>
      <c r="AS57">
        <v>164</v>
      </c>
      <c r="AT57">
        <v>121.5</v>
      </c>
      <c r="AU57">
        <v>186.3</v>
      </c>
      <c r="AV57">
        <v>159.80000000000001</v>
      </c>
      <c r="AW57">
        <v>187.7</v>
      </c>
      <c r="AX57">
        <v>179.4</v>
      </c>
      <c r="AY57">
        <v>184.8</v>
      </c>
      <c r="AZ57">
        <v>172.7</v>
      </c>
      <c r="BA57">
        <v>158.69999999999999</v>
      </c>
      <c r="BB57">
        <v>170.6</v>
      </c>
      <c r="BC57">
        <v>163.1</v>
      </c>
      <c r="BD57">
        <v>167.8</v>
      </c>
      <c r="BE57">
        <v>164.6</v>
      </c>
      <c r="BF57">
        <v>169.8</v>
      </c>
      <c r="BG57">
        <v>171.7</v>
      </c>
      <c r="BH57">
        <v>169.1</v>
      </c>
      <c r="BI57">
        <v>198.6</v>
      </c>
      <c r="BJ57">
        <v>164.7</v>
      </c>
      <c r="BK57">
        <v>172.3</v>
      </c>
      <c r="BM57">
        <v>179.5</v>
      </c>
      <c r="BN57">
        <v>157.4</v>
      </c>
      <c r="BP57">
        <v>336.9</v>
      </c>
      <c r="BQ57" s="2">
        <v>-2.6019080659150045</v>
      </c>
    </row>
    <row r="58" spans="1:69" x14ac:dyDescent="0.35">
      <c r="A58" t="s">
        <v>33</v>
      </c>
      <c r="B58">
        <v>2020</v>
      </c>
      <c r="C58" t="s">
        <v>38</v>
      </c>
      <c r="D58">
        <v>154</v>
      </c>
      <c r="E58" s="2">
        <v>154.69999999999999</v>
      </c>
      <c r="F58">
        <v>141.9</v>
      </c>
      <c r="G58">
        <v>135</v>
      </c>
      <c r="H58">
        <v>154.4</v>
      </c>
      <c r="I58">
        <v>151.80000000000001</v>
      </c>
      <c r="AD58" t="s">
        <v>33</v>
      </c>
      <c r="AE58">
        <v>2022</v>
      </c>
      <c r="AF58" t="s">
        <v>39</v>
      </c>
      <c r="AG58">
        <v>156.5</v>
      </c>
      <c r="AH58" s="2">
        <v>-1.7576898932831204</v>
      </c>
      <c r="AI58">
        <v>213</v>
      </c>
      <c r="AJ58">
        <v>-1.8885306310455985</v>
      </c>
      <c r="AK58">
        <v>175.2</v>
      </c>
      <c r="AL58">
        <v>-0.79275198187995799</v>
      </c>
      <c r="AM58">
        <v>0.48105832832229878</v>
      </c>
      <c r="AN58">
        <v>166.6</v>
      </c>
      <c r="AO58">
        <v>174.2</v>
      </c>
      <c r="AP58">
        <v>-2.952646239554324</v>
      </c>
      <c r="AQ58">
        <v>182.1</v>
      </c>
      <c r="AR58">
        <v>-12.661870503597125</v>
      </c>
      <c r="AS58">
        <v>164.3</v>
      </c>
      <c r="AT58">
        <v>120</v>
      </c>
      <c r="AU58">
        <v>190</v>
      </c>
      <c r="AV58">
        <v>168.4</v>
      </c>
      <c r="AW58">
        <v>185.2</v>
      </c>
      <c r="AX58">
        <v>175</v>
      </c>
      <c r="AY58">
        <v>195.8</v>
      </c>
      <c r="AZ58">
        <v>178.3</v>
      </c>
      <c r="BA58">
        <v>171.3</v>
      </c>
      <c r="BB58">
        <v>177.3</v>
      </c>
      <c r="BC58">
        <v>167.4</v>
      </c>
      <c r="BD58">
        <v>167.8</v>
      </c>
      <c r="BE58">
        <v>166.3</v>
      </c>
      <c r="BF58">
        <v>169.7</v>
      </c>
      <c r="BG58">
        <v>176.1</v>
      </c>
      <c r="BH58">
        <v>171.4</v>
      </c>
      <c r="BI58">
        <v>194.6</v>
      </c>
      <c r="BJ58">
        <v>168.4</v>
      </c>
      <c r="BK58">
        <v>173.4</v>
      </c>
      <c r="BM58">
        <v>179.6</v>
      </c>
      <c r="BN58">
        <v>161.6</v>
      </c>
      <c r="BP58">
        <v>341.2</v>
      </c>
      <c r="BQ58" s="2">
        <v>1.2763431285247884</v>
      </c>
    </row>
    <row r="59" spans="1:69" x14ac:dyDescent="0.35">
      <c r="A59" t="s">
        <v>30</v>
      </c>
      <c r="B59">
        <v>2020</v>
      </c>
      <c r="C59" t="s">
        <v>39</v>
      </c>
      <c r="D59">
        <v>152.30000000000001</v>
      </c>
      <c r="E59" s="2">
        <v>139.2551</v>
      </c>
      <c r="F59">
        <v>144.9</v>
      </c>
      <c r="G59">
        <v>141.4</v>
      </c>
      <c r="H59">
        <v>158.19999999999999</v>
      </c>
      <c r="I59">
        <v>152.69999999999999</v>
      </c>
      <c r="AD59" t="s">
        <v>30</v>
      </c>
      <c r="AE59">
        <v>2022</v>
      </c>
      <c r="AF59" t="s">
        <v>40</v>
      </c>
      <c r="AG59">
        <v>159.5</v>
      </c>
      <c r="AH59" s="2">
        <v>1.9169329073482428</v>
      </c>
      <c r="AI59">
        <v>204.1</v>
      </c>
      <c r="AJ59">
        <v>-4.1784037558685476</v>
      </c>
      <c r="AK59">
        <v>168.3</v>
      </c>
      <c r="AL59">
        <v>-3.9383561643835487</v>
      </c>
      <c r="AM59">
        <v>-0.29922202274087373</v>
      </c>
      <c r="AN59">
        <v>167.9</v>
      </c>
      <c r="AO59">
        <v>169.2</v>
      </c>
      <c r="AP59">
        <v>-2.8702640642939152</v>
      </c>
      <c r="AQ59">
        <v>173.1</v>
      </c>
      <c r="AR59">
        <v>-4.9423393739703458</v>
      </c>
      <c r="AS59">
        <v>167.1</v>
      </c>
      <c r="AT59">
        <v>120.2</v>
      </c>
      <c r="AU59">
        <v>195.6</v>
      </c>
      <c r="AV59">
        <v>174.8</v>
      </c>
      <c r="AW59">
        <v>184</v>
      </c>
      <c r="AX59">
        <v>173.9</v>
      </c>
      <c r="AY59">
        <v>198.1</v>
      </c>
      <c r="AZ59">
        <v>183.2</v>
      </c>
      <c r="BA59">
        <v>181.7</v>
      </c>
      <c r="BB59">
        <v>183</v>
      </c>
      <c r="BC59">
        <v>172.3</v>
      </c>
      <c r="BD59">
        <v>139.2551</v>
      </c>
      <c r="BE59">
        <v>169.3</v>
      </c>
      <c r="BF59">
        <v>171.1</v>
      </c>
      <c r="BG59">
        <v>179.4</v>
      </c>
      <c r="BH59">
        <v>175.7</v>
      </c>
      <c r="BI59">
        <v>193.7</v>
      </c>
      <c r="BJ59">
        <v>172.6</v>
      </c>
      <c r="BK59">
        <v>175.3</v>
      </c>
      <c r="BM59">
        <v>179.1</v>
      </c>
      <c r="BN59">
        <v>166.6</v>
      </c>
      <c r="BP59">
        <v>345.7</v>
      </c>
      <c r="BQ59" s="2">
        <v>1.3188745603751466</v>
      </c>
    </row>
    <row r="60" spans="1:69" x14ac:dyDescent="0.35">
      <c r="A60" t="s">
        <v>32</v>
      </c>
      <c r="B60">
        <v>2020</v>
      </c>
      <c r="C60" t="s">
        <v>39</v>
      </c>
      <c r="D60">
        <v>157</v>
      </c>
      <c r="E60" s="2">
        <v>154.69999999999999</v>
      </c>
      <c r="F60">
        <v>137.1</v>
      </c>
      <c r="G60">
        <v>129.30000000000001</v>
      </c>
      <c r="H60">
        <v>148.1</v>
      </c>
      <c r="I60">
        <v>150.80000000000001</v>
      </c>
      <c r="AD60" t="s">
        <v>32</v>
      </c>
      <c r="AE60">
        <v>2022</v>
      </c>
      <c r="AF60" t="s">
        <v>40</v>
      </c>
      <c r="AG60">
        <v>162.1</v>
      </c>
      <c r="AH60" s="2">
        <v>1.6300940438871439</v>
      </c>
      <c r="AI60">
        <v>210.9</v>
      </c>
      <c r="AJ60">
        <v>3.3317001469867771</v>
      </c>
      <c r="AK60">
        <v>170.6</v>
      </c>
      <c r="AL60">
        <v>1.3666072489601799</v>
      </c>
      <c r="AM60">
        <v>0.78031212484994683</v>
      </c>
      <c r="AN60">
        <v>168.4</v>
      </c>
      <c r="AO60">
        <v>177.1</v>
      </c>
      <c r="AP60">
        <v>4.6690307328605236</v>
      </c>
      <c r="AQ60">
        <v>213.1</v>
      </c>
      <c r="AR60">
        <v>23.108030040439054</v>
      </c>
      <c r="AS60">
        <v>167.3</v>
      </c>
      <c r="AT60">
        <v>122.2</v>
      </c>
      <c r="AU60">
        <v>189.7</v>
      </c>
      <c r="AV60">
        <v>160.5</v>
      </c>
      <c r="AW60">
        <v>188.9</v>
      </c>
      <c r="AX60">
        <v>180.4</v>
      </c>
      <c r="AY60">
        <v>182.5</v>
      </c>
      <c r="AZ60">
        <v>173.7</v>
      </c>
      <c r="BA60">
        <v>160</v>
      </c>
      <c r="BB60">
        <v>171.6</v>
      </c>
      <c r="BC60">
        <v>164.2</v>
      </c>
      <c r="BD60">
        <v>169</v>
      </c>
      <c r="BE60">
        <v>165.1</v>
      </c>
      <c r="BF60">
        <v>171.4</v>
      </c>
      <c r="BG60">
        <v>172.6</v>
      </c>
      <c r="BH60">
        <v>169.9</v>
      </c>
      <c r="BI60">
        <v>198.7</v>
      </c>
      <c r="BJ60">
        <v>165.4</v>
      </c>
      <c r="BK60">
        <v>173.1</v>
      </c>
      <c r="BM60">
        <v>178.4</v>
      </c>
      <c r="BN60">
        <v>157.69999999999999</v>
      </c>
      <c r="BP60">
        <v>336.1</v>
      </c>
      <c r="BQ60" s="2">
        <v>-2.7769742551344998</v>
      </c>
    </row>
    <row r="61" spans="1:69" x14ac:dyDescent="0.35">
      <c r="A61" t="s">
        <v>33</v>
      </c>
      <c r="B61">
        <v>2020</v>
      </c>
      <c r="C61" t="s">
        <v>39</v>
      </c>
      <c r="D61">
        <v>154</v>
      </c>
      <c r="E61" s="2">
        <v>154.69999999999999</v>
      </c>
      <c r="F61">
        <v>141.9</v>
      </c>
      <c r="G61">
        <v>135</v>
      </c>
      <c r="H61">
        <v>154.4</v>
      </c>
      <c r="I61">
        <v>151.80000000000001</v>
      </c>
      <c r="AD61" t="s">
        <v>33</v>
      </c>
      <c r="AE61">
        <v>2022</v>
      </c>
      <c r="AF61" t="s">
        <v>40</v>
      </c>
      <c r="AG61">
        <v>160.30000000000001</v>
      </c>
      <c r="AH61" s="2">
        <v>-1.1104256631708715</v>
      </c>
      <c r="AI61">
        <v>206.5</v>
      </c>
      <c r="AJ61">
        <v>-2.0862968231389312</v>
      </c>
      <c r="AK61">
        <v>169.2</v>
      </c>
      <c r="AL61">
        <v>-0.82063305978898349</v>
      </c>
      <c r="AM61">
        <v>0.29779630732578916</v>
      </c>
      <c r="AN61">
        <v>168.1</v>
      </c>
      <c r="AO61">
        <v>172.9</v>
      </c>
      <c r="AP61">
        <v>-2.371541501976278</v>
      </c>
      <c r="AQ61">
        <v>186.7</v>
      </c>
      <c r="AR61">
        <v>-12.38854997653684</v>
      </c>
      <c r="AS61">
        <v>167.2</v>
      </c>
      <c r="AT61">
        <v>120.9</v>
      </c>
      <c r="AU61">
        <v>193.6</v>
      </c>
      <c r="AV61">
        <v>168.8</v>
      </c>
      <c r="AW61">
        <v>186.3</v>
      </c>
      <c r="AX61">
        <v>176.3</v>
      </c>
      <c r="AY61">
        <v>192.4</v>
      </c>
      <c r="AZ61">
        <v>179.5</v>
      </c>
      <c r="BA61">
        <v>172.7</v>
      </c>
      <c r="BB61">
        <v>178.5</v>
      </c>
      <c r="BC61">
        <v>168.5</v>
      </c>
      <c r="BD61">
        <v>169</v>
      </c>
      <c r="BE61">
        <v>166.9</v>
      </c>
      <c r="BF61">
        <v>171.2</v>
      </c>
      <c r="BG61">
        <v>176.8</v>
      </c>
      <c r="BH61">
        <v>172.3</v>
      </c>
      <c r="BI61">
        <v>195</v>
      </c>
      <c r="BJ61">
        <v>169.1</v>
      </c>
      <c r="BK61">
        <v>174.3</v>
      </c>
      <c r="BM61">
        <v>178.8</v>
      </c>
      <c r="BN61">
        <v>161.9</v>
      </c>
      <c r="BP61">
        <v>340.70000000000005</v>
      </c>
      <c r="BQ61" s="2">
        <v>1.3686402856292836</v>
      </c>
    </row>
    <row r="62" spans="1:69" x14ac:dyDescent="0.35">
      <c r="A62" t="s">
        <v>30</v>
      </c>
      <c r="B62">
        <v>2020</v>
      </c>
      <c r="C62" t="s">
        <v>40</v>
      </c>
      <c r="D62">
        <v>155.30000000000001</v>
      </c>
      <c r="E62" s="2">
        <v>139.2551</v>
      </c>
      <c r="F62">
        <v>145.80000000000001</v>
      </c>
      <c r="G62">
        <v>143.6</v>
      </c>
      <c r="H62">
        <v>158.80000000000001</v>
      </c>
      <c r="I62">
        <v>154.69999999999999</v>
      </c>
      <c r="AD62" t="s">
        <v>30</v>
      </c>
      <c r="AE62">
        <v>2022</v>
      </c>
      <c r="AF62" t="s">
        <v>41</v>
      </c>
      <c r="AG62">
        <v>162.9</v>
      </c>
      <c r="AH62" s="2">
        <v>1.6219588271989982</v>
      </c>
      <c r="AI62">
        <v>206.7</v>
      </c>
      <c r="AJ62">
        <v>9.6852300242125239E-2</v>
      </c>
      <c r="AK62">
        <v>169</v>
      </c>
      <c r="AL62">
        <v>-0.1182033096926647</v>
      </c>
      <c r="AM62">
        <v>-0.17814726840855782</v>
      </c>
      <c r="AN62">
        <v>169.5</v>
      </c>
      <c r="AO62">
        <v>164.1</v>
      </c>
      <c r="AP62">
        <v>-5.0896471949103592</v>
      </c>
      <c r="AQ62">
        <v>176.9</v>
      </c>
      <c r="AR62">
        <v>-5.2490626673808158</v>
      </c>
      <c r="AS62">
        <v>169</v>
      </c>
      <c r="AT62">
        <v>120.8</v>
      </c>
      <c r="AU62">
        <v>199.1</v>
      </c>
      <c r="AV62">
        <v>175.4</v>
      </c>
      <c r="AW62">
        <v>184.8</v>
      </c>
      <c r="AX62">
        <v>175.5</v>
      </c>
      <c r="AY62">
        <v>194.1</v>
      </c>
      <c r="AZ62">
        <v>184.7</v>
      </c>
      <c r="BA62">
        <v>183.3</v>
      </c>
      <c r="BB62">
        <v>184.5</v>
      </c>
      <c r="BC62">
        <v>173.6</v>
      </c>
      <c r="BD62">
        <v>139.2551</v>
      </c>
      <c r="BE62">
        <v>170</v>
      </c>
      <c r="BF62">
        <v>170.8</v>
      </c>
      <c r="BG62">
        <v>180.2</v>
      </c>
      <c r="BH62">
        <v>176.2</v>
      </c>
      <c r="BI62">
        <v>194.5</v>
      </c>
      <c r="BJ62">
        <v>173.1</v>
      </c>
      <c r="BK62">
        <v>176.4</v>
      </c>
      <c r="BM62">
        <v>179.7</v>
      </c>
      <c r="BN62">
        <v>166.9</v>
      </c>
      <c r="BP62">
        <v>346.6</v>
      </c>
      <c r="BQ62" s="2">
        <v>1.7317287936601047</v>
      </c>
    </row>
    <row r="63" spans="1:69" x14ac:dyDescent="0.35">
      <c r="A63" t="s">
        <v>32</v>
      </c>
      <c r="B63">
        <v>2020</v>
      </c>
      <c r="C63" t="s">
        <v>40</v>
      </c>
      <c r="D63">
        <v>159.9</v>
      </c>
      <c r="E63" s="2">
        <v>155.5</v>
      </c>
      <c r="F63">
        <v>138.30000000000001</v>
      </c>
      <c r="G63">
        <v>133.9</v>
      </c>
      <c r="H63">
        <v>148.69999999999999</v>
      </c>
      <c r="I63">
        <v>152.9</v>
      </c>
      <c r="AD63" t="s">
        <v>32</v>
      </c>
      <c r="AE63">
        <v>2022</v>
      </c>
      <c r="AF63" t="s">
        <v>41</v>
      </c>
      <c r="AG63">
        <v>164.9</v>
      </c>
      <c r="AH63" s="2">
        <v>1.2277470841006752</v>
      </c>
      <c r="AI63">
        <v>213.7</v>
      </c>
      <c r="AJ63">
        <v>3.3865505563618772</v>
      </c>
      <c r="AK63">
        <v>170.9</v>
      </c>
      <c r="AL63">
        <v>1.1242603550295891</v>
      </c>
      <c r="AM63">
        <v>0.83283759666865298</v>
      </c>
      <c r="AN63">
        <v>170.1</v>
      </c>
      <c r="AO63">
        <v>167.5</v>
      </c>
      <c r="AP63">
        <v>2.0719073735527154</v>
      </c>
      <c r="AQ63">
        <v>220.8</v>
      </c>
      <c r="AR63">
        <v>24.816280384397967</v>
      </c>
      <c r="AS63">
        <v>169.2</v>
      </c>
      <c r="AT63">
        <v>123.1</v>
      </c>
      <c r="AU63">
        <v>193.6</v>
      </c>
      <c r="AV63">
        <v>161.1</v>
      </c>
      <c r="AW63">
        <v>190.4</v>
      </c>
      <c r="AX63">
        <v>181.8</v>
      </c>
      <c r="AY63">
        <v>179.3</v>
      </c>
      <c r="AZ63">
        <v>175</v>
      </c>
      <c r="BA63">
        <v>161.69999999999999</v>
      </c>
      <c r="BB63">
        <v>173</v>
      </c>
      <c r="BC63">
        <v>165</v>
      </c>
      <c r="BD63">
        <v>169.5</v>
      </c>
      <c r="BE63">
        <v>165.8</v>
      </c>
      <c r="BF63">
        <v>171.1</v>
      </c>
      <c r="BG63">
        <v>173.8</v>
      </c>
      <c r="BH63">
        <v>170.9</v>
      </c>
      <c r="BI63">
        <v>199.7</v>
      </c>
      <c r="BJ63">
        <v>166.1</v>
      </c>
      <c r="BK63">
        <v>174.1</v>
      </c>
      <c r="BM63">
        <v>179.2</v>
      </c>
      <c r="BN63">
        <v>158.19999999999999</v>
      </c>
      <c r="BP63">
        <v>337.4</v>
      </c>
      <c r="BQ63" s="2">
        <v>-2.6543566070398281</v>
      </c>
    </row>
    <row r="64" spans="1:69" x14ac:dyDescent="0.35">
      <c r="A64" t="s">
        <v>33</v>
      </c>
      <c r="B64">
        <v>2020</v>
      </c>
      <c r="C64" t="s">
        <v>40</v>
      </c>
      <c r="D64">
        <v>157</v>
      </c>
      <c r="E64" s="2">
        <v>155.5</v>
      </c>
      <c r="F64">
        <v>143</v>
      </c>
      <c r="G64">
        <v>138.5</v>
      </c>
      <c r="H64">
        <v>155</v>
      </c>
      <c r="I64">
        <v>153.9</v>
      </c>
      <c r="AD64" t="s">
        <v>33</v>
      </c>
      <c r="AE64">
        <v>2022</v>
      </c>
      <c r="AF64" t="s">
        <v>41</v>
      </c>
      <c r="AG64">
        <v>163.5</v>
      </c>
      <c r="AH64" s="2">
        <v>-0.84899939357186516</v>
      </c>
      <c r="AI64">
        <v>209.2</v>
      </c>
      <c r="AJ64">
        <v>-2.1057557323350493</v>
      </c>
      <c r="AK64">
        <v>169.7</v>
      </c>
      <c r="AL64">
        <v>-0.70216500877707255</v>
      </c>
      <c r="AM64">
        <v>0.35398230088495242</v>
      </c>
      <c r="AN64">
        <v>169.7</v>
      </c>
      <c r="AO64">
        <v>165.7</v>
      </c>
      <c r="AP64">
        <v>-1.0746268656716487</v>
      </c>
      <c r="AQ64">
        <v>191.8</v>
      </c>
      <c r="AR64">
        <v>-13.134057971014492</v>
      </c>
      <c r="AS64">
        <v>169.1</v>
      </c>
      <c r="AT64">
        <v>121.6</v>
      </c>
      <c r="AU64">
        <v>197.3</v>
      </c>
      <c r="AV64">
        <v>169.4</v>
      </c>
      <c r="AW64">
        <v>187.4</v>
      </c>
      <c r="AX64">
        <v>177.8</v>
      </c>
      <c r="AY64">
        <v>188.7</v>
      </c>
      <c r="AZ64">
        <v>180.9</v>
      </c>
      <c r="BA64">
        <v>174.3</v>
      </c>
      <c r="BB64">
        <v>179.9</v>
      </c>
      <c r="BC64">
        <v>169.5</v>
      </c>
      <c r="BD64">
        <v>169.5</v>
      </c>
      <c r="BE64">
        <v>167.6</v>
      </c>
      <c r="BF64">
        <v>170.9</v>
      </c>
      <c r="BG64">
        <v>177.8</v>
      </c>
      <c r="BH64">
        <v>173.1</v>
      </c>
      <c r="BI64">
        <v>195.9</v>
      </c>
      <c r="BJ64">
        <v>169.7</v>
      </c>
      <c r="BK64">
        <v>175.3</v>
      </c>
      <c r="BM64">
        <v>179.5</v>
      </c>
      <c r="BN64">
        <v>162.30000000000001</v>
      </c>
      <c r="BP64">
        <v>341.8</v>
      </c>
      <c r="BQ64" s="2">
        <v>1.3040901007706087</v>
      </c>
    </row>
    <row r="65" spans="1:69" x14ac:dyDescent="0.35">
      <c r="A65" t="s">
        <v>30</v>
      </c>
      <c r="B65">
        <v>2020</v>
      </c>
      <c r="C65" t="s">
        <v>41</v>
      </c>
      <c r="D65">
        <v>156.1</v>
      </c>
      <c r="E65" s="2">
        <v>139.2551</v>
      </c>
      <c r="F65">
        <v>146.4</v>
      </c>
      <c r="G65">
        <v>144.6</v>
      </c>
      <c r="H65">
        <v>159.1</v>
      </c>
      <c r="I65">
        <v>155.4</v>
      </c>
      <c r="AD65" t="s">
        <v>30</v>
      </c>
      <c r="AE65">
        <v>2022</v>
      </c>
      <c r="AF65" t="s">
        <v>42</v>
      </c>
      <c r="AG65">
        <v>164.7</v>
      </c>
      <c r="AH65" s="2">
        <v>0.73394495412843341</v>
      </c>
      <c r="AI65">
        <v>208.8</v>
      </c>
      <c r="AJ65">
        <v>-0.19120458891012299</v>
      </c>
      <c r="AK65">
        <v>170.3</v>
      </c>
      <c r="AL65">
        <v>0.35356511490867576</v>
      </c>
      <c r="AM65">
        <v>-0.23515579071134962</v>
      </c>
      <c r="AN65">
        <v>170.9</v>
      </c>
      <c r="AO65">
        <v>162.19999999999999</v>
      </c>
      <c r="AP65">
        <v>-2.1122510561255283</v>
      </c>
      <c r="AQ65">
        <v>184.8</v>
      </c>
      <c r="AR65">
        <v>-3.6496350364963499</v>
      </c>
      <c r="AS65">
        <v>169.7</v>
      </c>
      <c r="AT65">
        <v>121.1</v>
      </c>
      <c r="AU65">
        <v>201.6</v>
      </c>
      <c r="AV65">
        <v>175.8</v>
      </c>
      <c r="AW65">
        <v>185.6</v>
      </c>
      <c r="AX65">
        <v>177.4</v>
      </c>
      <c r="AY65">
        <v>191.6</v>
      </c>
      <c r="AZ65">
        <v>186.1</v>
      </c>
      <c r="BA65">
        <v>184.4</v>
      </c>
      <c r="BB65">
        <v>185.9</v>
      </c>
      <c r="BC65">
        <v>174.4</v>
      </c>
      <c r="BD65">
        <v>139.2551</v>
      </c>
      <c r="BE65">
        <v>170.6</v>
      </c>
      <c r="BF65">
        <v>172</v>
      </c>
      <c r="BG65">
        <v>181.2</v>
      </c>
      <c r="BH65">
        <v>176.5</v>
      </c>
      <c r="BI65">
        <v>194.9</v>
      </c>
      <c r="BJ65">
        <v>173.9</v>
      </c>
      <c r="BK65">
        <v>177.9</v>
      </c>
      <c r="BM65">
        <v>180.8</v>
      </c>
      <c r="BN65">
        <v>167.4</v>
      </c>
      <c r="BP65">
        <v>348.20000000000005</v>
      </c>
      <c r="BQ65" s="2">
        <v>1.8724400234055101</v>
      </c>
    </row>
    <row r="66" spans="1:69" x14ac:dyDescent="0.35">
      <c r="A66" t="s">
        <v>32</v>
      </c>
      <c r="B66">
        <v>2020</v>
      </c>
      <c r="C66" t="s">
        <v>41</v>
      </c>
      <c r="D66">
        <v>161.30000000000001</v>
      </c>
      <c r="E66" s="2">
        <v>156.30000000000001</v>
      </c>
      <c r="F66">
        <v>137.19999999999999</v>
      </c>
      <c r="G66">
        <v>135.1</v>
      </c>
      <c r="H66">
        <v>150</v>
      </c>
      <c r="I66">
        <v>154</v>
      </c>
      <c r="AD66" t="s">
        <v>32</v>
      </c>
      <c r="AE66">
        <v>2022</v>
      </c>
      <c r="AF66" t="s">
        <v>42</v>
      </c>
      <c r="AG66">
        <v>166.4</v>
      </c>
      <c r="AH66" s="2">
        <v>1.0321797207043213</v>
      </c>
      <c r="AI66">
        <v>214.9</v>
      </c>
      <c r="AJ66">
        <v>2.9214559386973153</v>
      </c>
      <c r="AK66">
        <v>171.9</v>
      </c>
      <c r="AL66">
        <v>0.93951849677040189</v>
      </c>
      <c r="AM66">
        <v>0.70713022981733475</v>
      </c>
      <c r="AN66">
        <v>171</v>
      </c>
      <c r="AO66">
        <v>165.7</v>
      </c>
      <c r="AP66">
        <v>2.1578298397040689</v>
      </c>
      <c r="AQ66">
        <v>228.6</v>
      </c>
      <c r="AR66">
        <v>23.70129870129869</v>
      </c>
      <c r="AS66">
        <v>169.9</v>
      </c>
      <c r="AT66">
        <v>123.4</v>
      </c>
      <c r="AU66">
        <v>196.4</v>
      </c>
      <c r="AV66">
        <v>161.6</v>
      </c>
      <c r="AW66">
        <v>191.5</v>
      </c>
      <c r="AX66">
        <v>183.3</v>
      </c>
      <c r="AY66">
        <v>177.7</v>
      </c>
      <c r="AZ66">
        <v>175.5</v>
      </c>
      <c r="BA66">
        <v>162.6</v>
      </c>
      <c r="BB66">
        <v>173.6</v>
      </c>
      <c r="BC66">
        <v>166</v>
      </c>
      <c r="BD66">
        <v>171.2</v>
      </c>
      <c r="BE66">
        <v>166.3</v>
      </c>
      <c r="BF66">
        <v>172.3</v>
      </c>
      <c r="BG66">
        <v>174.7</v>
      </c>
      <c r="BH66">
        <v>171.2</v>
      </c>
      <c r="BI66">
        <v>200.1</v>
      </c>
      <c r="BJ66">
        <v>166.8</v>
      </c>
      <c r="BK66">
        <v>175.3</v>
      </c>
      <c r="BM66">
        <v>180</v>
      </c>
      <c r="BN66">
        <v>158.80000000000001</v>
      </c>
      <c r="BP66">
        <v>338.8</v>
      </c>
      <c r="BQ66" s="2">
        <v>-2.6995979322228698</v>
      </c>
    </row>
    <row r="67" spans="1:69" x14ac:dyDescent="0.35">
      <c r="A67" t="s">
        <v>33</v>
      </c>
      <c r="B67">
        <v>2020</v>
      </c>
      <c r="C67" t="s">
        <v>41</v>
      </c>
      <c r="D67">
        <v>158</v>
      </c>
      <c r="E67" s="2">
        <v>156.30000000000001</v>
      </c>
      <c r="F67">
        <v>142.9</v>
      </c>
      <c r="G67">
        <v>139.6</v>
      </c>
      <c r="H67">
        <v>155.6</v>
      </c>
      <c r="I67">
        <v>154.69999999999999</v>
      </c>
      <c r="AD67" t="s">
        <v>33</v>
      </c>
      <c r="AE67">
        <v>2022</v>
      </c>
      <c r="AF67" t="s">
        <v>42</v>
      </c>
      <c r="AG67">
        <v>165.2</v>
      </c>
      <c r="AH67" s="2">
        <v>-0.72115384615385636</v>
      </c>
      <c r="AI67">
        <v>210.9</v>
      </c>
      <c r="AJ67">
        <v>-1.8613308515588647</v>
      </c>
      <c r="AK67">
        <v>170.9</v>
      </c>
      <c r="AL67">
        <v>-0.58173356602675974</v>
      </c>
      <c r="AM67">
        <v>5.8513750731418554E-2</v>
      </c>
      <c r="AN67">
        <v>170.9</v>
      </c>
      <c r="AO67">
        <v>163.80000000000001</v>
      </c>
      <c r="AP67">
        <v>-1.146650573325273</v>
      </c>
      <c r="AQ67">
        <v>199.7</v>
      </c>
      <c r="AR67">
        <v>-12.642169728783905</v>
      </c>
      <c r="AS67">
        <v>169.8</v>
      </c>
      <c r="AT67">
        <v>121.9</v>
      </c>
      <c r="AU67">
        <v>199.9</v>
      </c>
      <c r="AV67">
        <v>169.9</v>
      </c>
      <c r="AW67">
        <v>188.3</v>
      </c>
      <c r="AX67">
        <v>179.6</v>
      </c>
      <c r="AY67">
        <v>186.5</v>
      </c>
      <c r="AZ67">
        <v>181.9</v>
      </c>
      <c r="BA67">
        <v>175.3</v>
      </c>
      <c r="BB67">
        <v>181</v>
      </c>
      <c r="BC67">
        <v>170.4</v>
      </c>
      <c r="BD67">
        <v>171.2</v>
      </c>
      <c r="BE67">
        <v>168.2</v>
      </c>
      <c r="BF67">
        <v>172.1</v>
      </c>
      <c r="BG67">
        <v>178.7</v>
      </c>
      <c r="BH67">
        <v>173.4</v>
      </c>
      <c r="BI67">
        <v>196.3</v>
      </c>
      <c r="BJ67">
        <v>170.5</v>
      </c>
      <c r="BK67">
        <v>176.7</v>
      </c>
      <c r="BM67">
        <v>180.5</v>
      </c>
      <c r="BN67">
        <v>162.9</v>
      </c>
      <c r="BP67">
        <v>343.4</v>
      </c>
      <c r="BQ67" s="2">
        <v>1.357733175914984</v>
      </c>
    </row>
    <row r="68" spans="1:69" x14ac:dyDescent="0.35">
      <c r="A68" t="s">
        <v>30</v>
      </c>
      <c r="B68">
        <v>2020</v>
      </c>
      <c r="C68" t="s">
        <v>42</v>
      </c>
      <c r="D68">
        <v>159.6</v>
      </c>
      <c r="E68" s="2">
        <v>139.2551</v>
      </c>
      <c r="F68">
        <v>146.80000000000001</v>
      </c>
      <c r="G68">
        <v>146.4</v>
      </c>
      <c r="H68">
        <v>159.5</v>
      </c>
      <c r="I68">
        <v>157.5</v>
      </c>
      <c r="AD68" t="s">
        <v>30</v>
      </c>
      <c r="AE68">
        <v>2022</v>
      </c>
      <c r="AF68" t="s">
        <v>44</v>
      </c>
      <c r="AG68">
        <v>166.9</v>
      </c>
      <c r="AH68" s="2">
        <v>1.0290556900726495</v>
      </c>
      <c r="AI68">
        <v>207.2</v>
      </c>
      <c r="AJ68">
        <v>-1.7543859649122886</v>
      </c>
      <c r="AK68">
        <v>180.2</v>
      </c>
      <c r="AL68">
        <v>5.4417788180222253</v>
      </c>
      <c r="AM68">
        <v>-5.8479532163739363E-2</v>
      </c>
      <c r="AN68">
        <v>172.3</v>
      </c>
      <c r="AO68">
        <v>159.1</v>
      </c>
      <c r="AP68">
        <v>-2.8693528693528796</v>
      </c>
      <c r="AQ68">
        <v>171.6</v>
      </c>
      <c r="AR68">
        <v>-14.071106659989981</v>
      </c>
      <c r="AS68">
        <v>170.2</v>
      </c>
      <c r="AT68">
        <v>121.5</v>
      </c>
      <c r="AU68">
        <v>204.8</v>
      </c>
      <c r="AV68">
        <v>176.4</v>
      </c>
      <c r="AW68">
        <v>186.9</v>
      </c>
      <c r="AX68">
        <v>176.6</v>
      </c>
      <c r="AY68">
        <v>194</v>
      </c>
      <c r="AZ68">
        <v>187.2</v>
      </c>
      <c r="BA68">
        <v>185.2</v>
      </c>
      <c r="BB68">
        <v>186.9</v>
      </c>
      <c r="BC68">
        <v>175.5</v>
      </c>
      <c r="BD68">
        <v>139.2551</v>
      </c>
      <c r="BE68">
        <v>170.8</v>
      </c>
      <c r="BF68">
        <v>173.4</v>
      </c>
      <c r="BG68">
        <v>182.3</v>
      </c>
      <c r="BH68">
        <v>176.9</v>
      </c>
      <c r="BI68">
        <v>195.5</v>
      </c>
      <c r="BJ68">
        <v>174.6</v>
      </c>
      <c r="BK68">
        <v>177.8</v>
      </c>
      <c r="BM68">
        <v>181.9</v>
      </c>
      <c r="BN68">
        <v>167.5</v>
      </c>
      <c r="BP68">
        <v>349.4</v>
      </c>
      <c r="BQ68" s="2">
        <v>1.7472335468841003</v>
      </c>
    </row>
    <row r="69" spans="1:69" x14ac:dyDescent="0.35">
      <c r="A69" t="s">
        <v>32</v>
      </c>
      <c r="B69">
        <v>2020</v>
      </c>
      <c r="C69" t="s">
        <v>42</v>
      </c>
      <c r="D69">
        <v>164.4</v>
      </c>
      <c r="E69" s="2">
        <v>156.5</v>
      </c>
      <c r="F69">
        <v>137.1</v>
      </c>
      <c r="G69">
        <v>135.4</v>
      </c>
      <c r="H69">
        <v>151</v>
      </c>
      <c r="I69">
        <v>155.19999999999999</v>
      </c>
      <c r="AD69" t="s">
        <v>32</v>
      </c>
      <c r="AE69">
        <v>2022</v>
      </c>
      <c r="AF69" t="s">
        <v>44</v>
      </c>
      <c r="AG69">
        <v>168.4</v>
      </c>
      <c r="AH69" s="2">
        <v>0.89874176153385255</v>
      </c>
      <c r="AI69">
        <v>213.4</v>
      </c>
      <c r="AJ69">
        <v>2.9922779922780007</v>
      </c>
      <c r="AK69">
        <v>183.2</v>
      </c>
      <c r="AL69">
        <v>1.6648168701442843</v>
      </c>
      <c r="AM69">
        <v>0.81919251023990969</v>
      </c>
      <c r="AN69">
        <v>172.3</v>
      </c>
      <c r="AO69">
        <v>162.6</v>
      </c>
      <c r="AP69">
        <v>2.1998742928975488</v>
      </c>
      <c r="AQ69">
        <v>205.5</v>
      </c>
      <c r="AR69">
        <v>19.755244755244757</v>
      </c>
      <c r="AS69">
        <v>171</v>
      </c>
      <c r="AT69">
        <v>123.4</v>
      </c>
      <c r="AU69">
        <v>198.8</v>
      </c>
      <c r="AV69">
        <v>162.1</v>
      </c>
      <c r="AW69">
        <v>192.4</v>
      </c>
      <c r="AX69">
        <v>181.3</v>
      </c>
      <c r="AY69">
        <v>180</v>
      </c>
      <c r="AZ69">
        <v>176.7</v>
      </c>
      <c r="BA69">
        <v>163.5</v>
      </c>
      <c r="BB69">
        <v>174.7</v>
      </c>
      <c r="BC69">
        <v>166.9</v>
      </c>
      <c r="BD69">
        <v>171.8</v>
      </c>
      <c r="BE69">
        <v>166.7</v>
      </c>
      <c r="BF69">
        <v>173.8</v>
      </c>
      <c r="BG69">
        <v>175.8</v>
      </c>
      <c r="BH69">
        <v>171.5</v>
      </c>
      <c r="BI69">
        <v>200.6</v>
      </c>
      <c r="BJ69">
        <v>167.4</v>
      </c>
      <c r="BK69">
        <v>174.1</v>
      </c>
      <c r="BM69">
        <v>180.3</v>
      </c>
      <c r="BN69">
        <v>158.9</v>
      </c>
      <c r="BP69">
        <v>339.20000000000005</v>
      </c>
      <c r="BQ69" s="2">
        <v>-2.9192902117916235</v>
      </c>
    </row>
    <row r="70" spans="1:69" x14ac:dyDescent="0.35">
      <c r="A70" t="s">
        <v>33</v>
      </c>
      <c r="B70">
        <v>2020</v>
      </c>
      <c r="C70" t="s">
        <v>42</v>
      </c>
      <c r="D70">
        <v>161.4</v>
      </c>
      <c r="E70" s="2">
        <v>156.5</v>
      </c>
      <c r="F70">
        <v>143.1</v>
      </c>
      <c r="G70">
        <v>140.6</v>
      </c>
      <c r="H70">
        <v>156.30000000000001</v>
      </c>
      <c r="I70">
        <v>156.4</v>
      </c>
      <c r="AD70" t="s">
        <v>33</v>
      </c>
      <c r="AE70">
        <v>2022</v>
      </c>
      <c r="AF70" t="s">
        <v>44</v>
      </c>
      <c r="AG70">
        <v>167.4</v>
      </c>
      <c r="AH70" s="2">
        <v>-0.59382422802850354</v>
      </c>
      <c r="AI70">
        <v>209.4</v>
      </c>
      <c r="AJ70">
        <v>-1.874414245548266</v>
      </c>
      <c r="AK70">
        <v>181.4</v>
      </c>
      <c r="AL70">
        <v>-0.98253275109169369</v>
      </c>
      <c r="AM70">
        <v>0</v>
      </c>
      <c r="AN70">
        <v>172.3</v>
      </c>
      <c r="AO70">
        <v>160.69999999999999</v>
      </c>
      <c r="AP70">
        <v>-1.1685116851168549</v>
      </c>
      <c r="AQ70">
        <v>183.1</v>
      </c>
      <c r="AR70">
        <v>-10.900243309002436</v>
      </c>
      <c r="AS70">
        <v>170.5</v>
      </c>
      <c r="AT70">
        <v>122.1</v>
      </c>
      <c r="AU70">
        <v>202.8</v>
      </c>
      <c r="AV70">
        <v>170.4</v>
      </c>
      <c r="AW70">
        <v>189.5</v>
      </c>
      <c r="AX70">
        <v>178.3</v>
      </c>
      <c r="AY70">
        <v>188.9</v>
      </c>
      <c r="AZ70">
        <v>183.1</v>
      </c>
      <c r="BA70">
        <v>176.2</v>
      </c>
      <c r="BB70">
        <v>182.1</v>
      </c>
      <c r="BC70">
        <v>171.4</v>
      </c>
      <c r="BD70">
        <v>171.8</v>
      </c>
      <c r="BE70">
        <v>168.5</v>
      </c>
      <c r="BF70">
        <v>173.6</v>
      </c>
      <c r="BG70">
        <v>179.8</v>
      </c>
      <c r="BH70">
        <v>173.7</v>
      </c>
      <c r="BI70">
        <v>196.9</v>
      </c>
      <c r="BJ70">
        <v>171.1</v>
      </c>
      <c r="BK70">
        <v>176.5</v>
      </c>
      <c r="BM70">
        <v>181.3</v>
      </c>
      <c r="BN70">
        <v>163</v>
      </c>
      <c r="BP70">
        <v>344.3</v>
      </c>
      <c r="BQ70" s="2">
        <v>1.5035377358490465</v>
      </c>
    </row>
    <row r="71" spans="1:69" x14ac:dyDescent="0.35">
      <c r="A71" t="s">
        <v>30</v>
      </c>
      <c r="B71">
        <v>2020</v>
      </c>
      <c r="C71" t="s">
        <v>44</v>
      </c>
      <c r="D71">
        <v>163.4</v>
      </c>
      <c r="E71" s="2">
        <v>139.2551</v>
      </c>
      <c r="F71">
        <v>147.5</v>
      </c>
      <c r="G71">
        <v>146.1</v>
      </c>
      <c r="H71">
        <v>160.4</v>
      </c>
      <c r="I71">
        <v>159.80000000000001</v>
      </c>
      <c r="AD71" t="s">
        <v>30</v>
      </c>
      <c r="AE71">
        <v>2022</v>
      </c>
      <c r="AF71" t="s">
        <v>45</v>
      </c>
      <c r="AG71">
        <v>168.8</v>
      </c>
      <c r="AH71" s="2">
        <v>0.83632019115890432</v>
      </c>
      <c r="AI71">
        <v>206.9</v>
      </c>
      <c r="AJ71">
        <v>-1.1938872970391594</v>
      </c>
      <c r="AK71">
        <v>189.1</v>
      </c>
      <c r="AL71">
        <v>4.2447629547960251</v>
      </c>
      <c r="AM71">
        <v>0</v>
      </c>
      <c r="AN71">
        <v>173.4</v>
      </c>
      <c r="AO71">
        <v>156.69999999999999</v>
      </c>
      <c r="AP71">
        <v>-2.4891101431238334</v>
      </c>
      <c r="AQ71">
        <v>150.19999999999999</v>
      </c>
      <c r="AR71">
        <v>-17.968323320589846</v>
      </c>
      <c r="AS71">
        <v>170.5</v>
      </c>
      <c r="AT71">
        <v>121.2</v>
      </c>
      <c r="AU71">
        <v>207.5</v>
      </c>
      <c r="AV71">
        <v>176.8</v>
      </c>
      <c r="AW71">
        <v>187.7</v>
      </c>
      <c r="AX71">
        <v>174.4</v>
      </c>
      <c r="AY71">
        <v>193.9</v>
      </c>
      <c r="AZ71">
        <v>188.1</v>
      </c>
      <c r="BA71">
        <v>185.9</v>
      </c>
      <c r="BB71">
        <v>187.8</v>
      </c>
      <c r="BC71">
        <v>176.4</v>
      </c>
      <c r="BD71">
        <v>139.2551</v>
      </c>
      <c r="BE71">
        <v>171.2</v>
      </c>
      <c r="BF71">
        <v>175.7</v>
      </c>
      <c r="BG71">
        <v>183.5</v>
      </c>
      <c r="BH71">
        <v>177.3</v>
      </c>
      <c r="BI71">
        <v>195.9</v>
      </c>
      <c r="BJ71">
        <v>175.5</v>
      </c>
      <c r="BK71">
        <v>177.1</v>
      </c>
      <c r="BM71">
        <v>182.8</v>
      </c>
      <c r="BN71">
        <v>167.8</v>
      </c>
      <c r="BP71">
        <v>350.6</v>
      </c>
      <c r="BQ71" s="2">
        <v>1.8297995933778715</v>
      </c>
    </row>
    <row r="72" spans="1:69" x14ac:dyDescent="0.35">
      <c r="A72" t="s">
        <v>32</v>
      </c>
      <c r="B72">
        <v>2020</v>
      </c>
      <c r="C72" t="s">
        <v>44</v>
      </c>
      <c r="D72">
        <v>167</v>
      </c>
      <c r="E72" s="2">
        <v>158</v>
      </c>
      <c r="F72">
        <v>137.30000000000001</v>
      </c>
      <c r="G72">
        <v>135.19999999999999</v>
      </c>
      <c r="H72">
        <v>152</v>
      </c>
      <c r="I72">
        <v>156.69999999999999</v>
      </c>
      <c r="AD72" t="s">
        <v>32</v>
      </c>
      <c r="AE72">
        <v>2022</v>
      </c>
      <c r="AF72" t="s">
        <v>45</v>
      </c>
      <c r="AG72">
        <v>170.2</v>
      </c>
      <c r="AH72" s="2">
        <v>0.82938388625591075</v>
      </c>
      <c r="AI72">
        <v>212.9</v>
      </c>
      <c r="AJ72">
        <v>2.8999516674722088</v>
      </c>
      <c r="AK72">
        <v>191.9</v>
      </c>
      <c r="AL72">
        <v>1.4806980433633059</v>
      </c>
      <c r="AM72">
        <v>0.63842135809634026</v>
      </c>
      <c r="AN72">
        <v>173.9</v>
      </c>
      <c r="AO72">
        <v>159.5</v>
      </c>
      <c r="AP72">
        <v>1.786853860880671</v>
      </c>
      <c r="AQ72">
        <v>178.7</v>
      </c>
      <c r="AR72">
        <v>18.974700399467377</v>
      </c>
      <c r="AS72">
        <v>171.3</v>
      </c>
      <c r="AT72">
        <v>123.1</v>
      </c>
      <c r="AU72">
        <v>200.5</v>
      </c>
      <c r="AV72">
        <v>162.80000000000001</v>
      </c>
      <c r="AW72">
        <v>193.3</v>
      </c>
      <c r="AX72">
        <v>178.6</v>
      </c>
      <c r="AY72">
        <v>179.1</v>
      </c>
      <c r="AZ72">
        <v>177.7</v>
      </c>
      <c r="BA72">
        <v>164.5</v>
      </c>
      <c r="BB72">
        <v>175.7</v>
      </c>
      <c r="BC72">
        <v>167.3</v>
      </c>
      <c r="BD72">
        <v>170.7</v>
      </c>
      <c r="BE72">
        <v>167.1</v>
      </c>
      <c r="BF72">
        <v>176</v>
      </c>
      <c r="BG72">
        <v>177.2</v>
      </c>
      <c r="BH72">
        <v>171.8</v>
      </c>
      <c r="BI72">
        <v>201.1</v>
      </c>
      <c r="BJ72">
        <v>168.2</v>
      </c>
      <c r="BK72">
        <v>174.1</v>
      </c>
      <c r="BM72">
        <v>180.6</v>
      </c>
      <c r="BN72">
        <v>159.4</v>
      </c>
      <c r="BP72">
        <v>340</v>
      </c>
      <c r="BQ72" s="2">
        <v>-3.0233884768967547</v>
      </c>
    </row>
    <row r="73" spans="1:69" x14ac:dyDescent="0.35">
      <c r="A73" t="s">
        <v>33</v>
      </c>
      <c r="B73">
        <v>2020</v>
      </c>
      <c r="C73" t="s">
        <v>44</v>
      </c>
      <c r="D73">
        <v>164.7</v>
      </c>
      <c r="E73" s="2">
        <v>158</v>
      </c>
      <c r="F73">
        <v>143.6</v>
      </c>
      <c r="G73">
        <v>140.4</v>
      </c>
      <c r="H73">
        <v>157.19999999999999</v>
      </c>
      <c r="I73">
        <v>158.4</v>
      </c>
      <c r="AD73" t="s">
        <v>33</v>
      </c>
      <c r="AE73">
        <v>2022</v>
      </c>
      <c r="AF73" t="s">
        <v>45</v>
      </c>
      <c r="AG73">
        <v>169.2</v>
      </c>
      <c r="AH73" s="2">
        <v>-0.58754406580493534</v>
      </c>
      <c r="AI73">
        <v>209</v>
      </c>
      <c r="AJ73">
        <v>-1.8318459370596549</v>
      </c>
      <c r="AK73">
        <v>190.2</v>
      </c>
      <c r="AL73">
        <v>-0.88587806149036841</v>
      </c>
      <c r="AM73">
        <v>0.28835063437139563</v>
      </c>
      <c r="AN73">
        <v>173.6</v>
      </c>
      <c r="AO73">
        <v>158</v>
      </c>
      <c r="AP73">
        <v>-0.94043887147335425</v>
      </c>
      <c r="AQ73">
        <v>159.9</v>
      </c>
      <c r="AR73">
        <v>-10.520425293788463</v>
      </c>
      <c r="AS73">
        <v>170.8</v>
      </c>
      <c r="AT73">
        <v>121.8</v>
      </c>
      <c r="AU73">
        <v>205.2</v>
      </c>
      <c r="AV73">
        <v>171</v>
      </c>
      <c r="AW73">
        <v>190.3</v>
      </c>
      <c r="AX73">
        <v>175.9</v>
      </c>
      <c r="AY73">
        <v>188.5</v>
      </c>
      <c r="AZ73">
        <v>184</v>
      </c>
      <c r="BA73">
        <v>177</v>
      </c>
      <c r="BB73">
        <v>183</v>
      </c>
      <c r="BC73">
        <v>172.1</v>
      </c>
      <c r="BD73">
        <v>170.7</v>
      </c>
      <c r="BE73">
        <v>168.9</v>
      </c>
      <c r="BF73">
        <v>175.8</v>
      </c>
      <c r="BG73">
        <v>181.1</v>
      </c>
      <c r="BH73">
        <v>174.1</v>
      </c>
      <c r="BI73">
        <v>197.3</v>
      </c>
      <c r="BJ73">
        <v>172</v>
      </c>
      <c r="BK73">
        <v>175.7</v>
      </c>
      <c r="BM73">
        <v>182</v>
      </c>
      <c r="BN73">
        <v>163.4</v>
      </c>
      <c r="BP73">
        <v>345.4</v>
      </c>
      <c r="BQ73" s="2">
        <v>1.5882352941176403</v>
      </c>
    </row>
    <row r="74" spans="1:69" x14ac:dyDescent="0.35">
      <c r="A74" t="s">
        <v>30</v>
      </c>
      <c r="B74">
        <v>2020</v>
      </c>
      <c r="C74" t="s">
        <v>45</v>
      </c>
      <c r="D74">
        <v>164.5</v>
      </c>
      <c r="E74" s="2">
        <v>139.2551</v>
      </c>
      <c r="F74">
        <v>148.69999999999999</v>
      </c>
      <c r="G74">
        <v>146.4</v>
      </c>
      <c r="H74">
        <v>161.6</v>
      </c>
      <c r="I74">
        <v>160.69999999999999</v>
      </c>
      <c r="AD74" t="s">
        <v>30</v>
      </c>
      <c r="AE74">
        <v>2023</v>
      </c>
      <c r="AF74" t="s">
        <v>31</v>
      </c>
      <c r="AG74">
        <v>174</v>
      </c>
      <c r="AH74" s="2">
        <v>2.8368794326241202</v>
      </c>
      <c r="AI74">
        <v>208.3</v>
      </c>
      <c r="AJ74">
        <v>-0.3349282296650663</v>
      </c>
      <c r="AK74">
        <v>192.9</v>
      </c>
      <c r="AL74">
        <v>1.41955835962146</v>
      </c>
      <c r="AM74">
        <v>-0.17251293847039181</v>
      </c>
      <c r="AN74">
        <v>174.3</v>
      </c>
      <c r="AO74">
        <v>156.30000000000001</v>
      </c>
      <c r="AP74">
        <v>-1.0759493670886002</v>
      </c>
      <c r="AQ74">
        <v>142.9</v>
      </c>
      <c r="AR74">
        <v>-10.63164477798624</v>
      </c>
      <c r="AS74">
        <v>170.7</v>
      </c>
      <c r="AT74">
        <v>120.3</v>
      </c>
      <c r="AU74">
        <v>210.5</v>
      </c>
      <c r="AV74">
        <v>176.9</v>
      </c>
      <c r="AW74">
        <v>188.5</v>
      </c>
      <c r="AX74">
        <v>175</v>
      </c>
      <c r="AY74">
        <v>192.6</v>
      </c>
      <c r="AZ74">
        <v>189</v>
      </c>
      <c r="BA74">
        <v>186.3</v>
      </c>
      <c r="BB74">
        <v>188.6</v>
      </c>
      <c r="BC74">
        <v>177.2</v>
      </c>
      <c r="BD74">
        <v>139.2551</v>
      </c>
      <c r="BE74">
        <v>171.8</v>
      </c>
      <c r="BF74">
        <v>178.4</v>
      </c>
      <c r="BG74">
        <v>184.7</v>
      </c>
      <c r="BH74">
        <v>177.8</v>
      </c>
      <c r="BI74">
        <v>196.9</v>
      </c>
      <c r="BJ74">
        <v>176.5</v>
      </c>
      <c r="BK74">
        <v>177.8</v>
      </c>
      <c r="BM74">
        <v>183.2</v>
      </c>
      <c r="BN74">
        <v>168.2</v>
      </c>
      <c r="BP74">
        <v>351.4</v>
      </c>
      <c r="BQ74" s="2">
        <v>1.7371163867979156</v>
      </c>
    </row>
    <row r="75" spans="1:69" x14ac:dyDescent="0.35">
      <c r="A75" t="s">
        <v>32</v>
      </c>
      <c r="B75">
        <v>2020</v>
      </c>
      <c r="C75" t="s">
        <v>45</v>
      </c>
      <c r="D75">
        <v>167</v>
      </c>
      <c r="E75" s="2">
        <v>158.4</v>
      </c>
      <c r="F75">
        <v>137.9</v>
      </c>
      <c r="G75">
        <v>135.5</v>
      </c>
      <c r="H75">
        <v>152.9</v>
      </c>
      <c r="I75">
        <v>156.9</v>
      </c>
      <c r="AD75" t="s">
        <v>32</v>
      </c>
      <c r="AE75">
        <v>2023</v>
      </c>
      <c r="AF75" t="s">
        <v>31</v>
      </c>
      <c r="AG75">
        <v>173.3</v>
      </c>
      <c r="AH75" s="2">
        <v>-0.40229885057470616</v>
      </c>
      <c r="AI75">
        <v>215.2</v>
      </c>
      <c r="AJ75">
        <v>3.3125300048007573</v>
      </c>
      <c r="AK75">
        <v>197</v>
      </c>
      <c r="AL75">
        <v>2.1254536029030557</v>
      </c>
      <c r="AM75">
        <v>0.40322580645162276</v>
      </c>
      <c r="AN75">
        <v>175.2</v>
      </c>
      <c r="AO75">
        <v>160.5</v>
      </c>
      <c r="AP75">
        <v>2.6871401151631407</v>
      </c>
      <c r="AQ75">
        <v>175.3</v>
      </c>
      <c r="AR75">
        <v>22.673198040587828</v>
      </c>
      <c r="AS75">
        <v>171.2</v>
      </c>
      <c r="AT75">
        <v>122.7</v>
      </c>
      <c r="AU75">
        <v>204.3</v>
      </c>
      <c r="AV75">
        <v>163.69999999999999</v>
      </c>
      <c r="AW75">
        <v>194.3</v>
      </c>
      <c r="AX75">
        <v>179.5</v>
      </c>
      <c r="AY75">
        <v>178</v>
      </c>
      <c r="AZ75">
        <v>178.7</v>
      </c>
      <c r="BA75">
        <v>165.3</v>
      </c>
      <c r="BB75">
        <v>176.6</v>
      </c>
      <c r="BC75">
        <v>168</v>
      </c>
      <c r="BD75">
        <v>172.1</v>
      </c>
      <c r="BE75">
        <v>167.8</v>
      </c>
      <c r="BF75">
        <v>178.8</v>
      </c>
      <c r="BG75">
        <v>178.5</v>
      </c>
      <c r="BH75">
        <v>171.8</v>
      </c>
      <c r="BI75">
        <v>201.6</v>
      </c>
      <c r="BJ75">
        <v>168.9</v>
      </c>
      <c r="BK75">
        <v>174.9</v>
      </c>
      <c r="BM75">
        <v>180.1</v>
      </c>
      <c r="BN75">
        <v>159.5</v>
      </c>
      <c r="BP75">
        <v>339.6</v>
      </c>
      <c r="BQ75" s="2">
        <v>-3.3579965850882054</v>
      </c>
    </row>
    <row r="76" spans="1:69" x14ac:dyDescent="0.35">
      <c r="A76" t="s">
        <v>33</v>
      </c>
      <c r="B76">
        <v>2020</v>
      </c>
      <c r="C76" t="s">
        <v>45</v>
      </c>
      <c r="D76">
        <v>165.4</v>
      </c>
      <c r="E76" s="2">
        <v>158.4</v>
      </c>
      <c r="F76">
        <v>144.6</v>
      </c>
      <c r="G76">
        <v>140.69999999999999</v>
      </c>
      <c r="H76">
        <v>158.30000000000001</v>
      </c>
      <c r="I76">
        <v>158.9</v>
      </c>
      <c r="AD76" t="s">
        <v>33</v>
      </c>
      <c r="AE76">
        <v>2023</v>
      </c>
      <c r="AF76" t="s">
        <v>31</v>
      </c>
      <c r="AG76">
        <v>173.8</v>
      </c>
      <c r="AH76" s="2">
        <v>0.2885170225043277</v>
      </c>
      <c r="AI76">
        <v>210.7</v>
      </c>
      <c r="AJ76">
        <v>-2.0910780669144984</v>
      </c>
      <c r="AK76">
        <v>194.5</v>
      </c>
      <c r="AL76">
        <v>-1.2690355329949239</v>
      </c>
      <c r="AM76">
        <v>0.51635111876074424</v>
      </c>
      <c r="AN76">
        <v>174.6</v>
      </c>
      <c r="AO76">
        <v>158.30000000000001</v>
      </c>
      <c r="AP76">
        <v>-1.3707165109034196</v>
      </c>
      <c r="AQ76">
        <v>153.9</v>
      </c>
      <c r="AR76">
        <v>-12.207644038790647</v>
      </c>
      <c r="AS76">
        <v>170.9</v>
      </c>
      <c r="AT76">
        <v>121.1</v>
      </c>
      <c r="AU76">
        <v>208.4</v>
      </c>
      <c r="AV76">
        <v>171.4</v>
      </c>
      <c r="AW76">
        <v>191.2</v>
      </c>
      <c r="AX76">
        <v>176.7</v>
      </c>
      <c r="AY76">
        <v>187.2</v>
      </c>
      <c r="AZ76">
        <v>184.9</v>
      </c>
      <c r="BA76">
        <v>177.6</v>
      </c>
      <c r="BB76">
        <v>183.8</v>
      </c>
      <c r="BC76">
        <v>172.9</v>
      </c>
      <c r="BD76">
        <v>172.1</v>
      </c>
      <c r="BE76">
        <v>169.5</v>
      </c>
      <c r="BF76">
        <v>178.6</v>
      </c>
      <c r="BG76">
        <v>182.3</v>
      </c>
      <c r="BH76">
        <v>174.3</v>
      </c>
      <c r="BI76">
        <v>198.2</v>
      </c>
      <c r="BJ76">
        <v>172.8</v>
      </c>
      <c r="BK76">
        <v>176.5</v>
      </c>
      <c r="BM76">
        <v>182</v>
      </c>
      <c r="BN76">
        <v>163.6</v>
      </c>
      <c r="BP76">
        <v>345.6</v>
      </c>
      <c r="BQ76" s="2">
        <v>1.7667844522968195</v>
      </c>
    </row>
    <row r="77" spans="1:69" x14ac:dyDescent="0.35">
      <c r="A77" t="s">
        <v>30</v>
      </c>
      <c r="B77">
        <v>2021</v>
      </c>
      <c r="C77" t="s">
        <v>31</v>
      </c>
      <c r="D77">
        <v>159.6</v>
      </c>
      <c r="E77" s="2">
        <v>139.2551</v>
      </c>
      <c r="F77">
        <v>150.9</v>
      </c>
      <c r="G77">
        <v>147.5</v>
      </c>
      <c r="H77">
        <v>162.5</v>
      </c>
      <c r="I77">
        <v>158.5</v>
      </c>
      <c r="AD77" t="s">
        <v>30</v>
      </c>
      <c r="AE77">
        <v>2023</v>
      </c>
      <c r="AF77" t="s">
        <v>34</v>
      </c>
      <c r="AG77">
        <v>174.2</v>
      </c>
      <c r="AH77" s="2">
        <v>0.23014959723819173</v>
      </c>
      <c r="AI77">
        <v>205.2</v>
      </c>
      <c r="AJ77">
        <v>-2.6103464641670624</v>
      </c>
      <c r="AK77">
        <v>173.9</v>
      </c>
      <c r="AL77">
        <v>-10.591259640102825</v>
      </c>
      <c r="AM77">
        <v>-0.3424657534246543</v>
      </c>
      <c r="AN77">
        <v>177</v>
      </c>
      <c r="AO77">
        <v>167.2</v>
      </c>
      <c r="AP77">
        <v>5.6222362602653044</v>
      </c>
      <c r="AQ77">
        <v>140.9</v>
      </c>
      <c r="AR77">
        <v>-8.4470435347628321</v>
      </c>
      <c r="AS77">
        <v>170.4</v>
      </c>
      <c r="AT77">
        <v>119.1</v>
      </c>
      <c r="AU77">
        <v>212.1</v>
      </c>
      <c r="AV77">
        <v>177.6</v>
      </c>
      <c r="AW77">
        <v>189.9</v>
      </c>
      <c r="AX77">
        <v>174.8</v>
      </c>
      <c r="AY77">
        <v>183.4</v>
      </c>
      <c r="AZ77">
        <v>190</v>
      </c>
      <c r="BA77">
        <v>187</v>
      </c>
      <c r="BB77">
        <v>189.6</v>
      </c>
      <c r="BC77">
        <v>178.6</v>
      </c>
      <c r="BD77">
        <v>139.2551</v>
      </c>
      <c r="BE77">
        <v>172.8</v>
      </c>
      <c r="BF77">
        <v>180.7</v>
      </c>
      <c r="BG77">
        <v>186.6</v>
      </c>
      <c r="BH77">
        <v>178.5</v>
      </c>
      <c r="BI77">
        <v>198.3</v>
      </c>
      <c r="BJ77">
        <v>177.9</v>
      </c>
      <c r="BK77">
        <v>178</v>
      </c>
      <c r="BM77">
        <v>181.6</v>
      </c>
      <c r="BN77">
        <v>169</v>
      </c>
      <c r="BP77">
        <v>350.6</v>
      </c>
      <c r="BQ77" s="2">
        <v>1.4467592592592591</v>
      </c>
    </row>
    <row r="78" spans="1:69" x14ac:dyDescent="0.35">
      <c r="A78" t="s">
        <v>32</v>
      </c>
      <c r="B78">
        <v>2021</v>
      </c>
      <c r="C78" t="s">
        <v>31</v>
      </c>
      <c r="D78">
        <v>163.4</v>
      </c>
      <c r="E78" s="2">
        <v>157.69999999999999</v>
      </c>
      <c r="F78">
        <v>142.9</v>
      </c>
      <c r="G78">
        <v>136.9</v>
      </c>
      <c r="H78">
        <v>154.1</v>
      </c>
      <c r="I78">
        <v>156</v>
      </c>
      <c r="AD78" t="s">
        <v>32</v>
      </c>
      <c r="AE78">
        <v>2023</v>
      </c>
      <c r="AF78" t="s">
        <v>34</v>
      </c>
      <c r="AG78">
        <v>174.7</v>
      </c>
      <c r="AH78" s="2">
        <v>0.28702640642939153</v>
      </c>
      <c r="AI78">
        <v>212.2</v>
      </c>
      <c r="AJ78">
        <v>3.4113060428849908</v>
      </c>
      <c r="AK78">
        <v>177.2</v>
      </c>
      <c r="AL78">
        <v>1.8976423231742281</v>
      </c>
      <c r="AM78">
        <v>1.3745704467353985</v>
      </c>
      <c r="AN78">
        <v>177.9</v>
      </c>
      <c r="AO78">
        <v>172.1</v>
      </c>
      <c r="AP78">
        <v>2.9306220095693813</v>
      </c>
      <c r="AQ78">
        <v>175.8</v>
      </c>
      <c r="AR78">
        <v>24.769339957416612</v>
      </c>
      <c r="AS78">
        <v>172.2</v>
      </c>
      <c r="AT78">
        <v>121.9</v>
      </c>
      <c r="AU78">
        <v>204.8</v>
      </c>
      <c r="AV78">
        <v>164.9</v>
      </c>
      <c r="AW78">
        <v>196.6</v>
      </c>
      <c r="AX78">
        <v>180.7</v>
      </c>
      <c r="AY78">
        <v>172.2</v>
      </c>
      <c r="AZ78">
        <v>180.3</v>
      </c>
      <c r="BA78">
        <v>167</v>
      </c>
      <c r="BB78">
        <v>178.2</v>
      </c>
      <c r="BC78">
        <v>169.2</v>
      </c>
      <c r="BD78">
        <v>173.5</v>
      </c>
      <c r="BE78">
        <v>168.4</v>
      </c>
      <c r="BF78">
        <v>181.4</v>
      </c>
      <c r="BG78">
        <v>180.8</v>
      </c>
      <c r="BH78">
        <v>172.5</v>
      </c>
      <c r="BI78">
        <v>202.7</v>
      </c>
      <c r="BJ78">
        <v>170</v>
      </c>
      <c r="BK78">
        <v>176.3</v>
      </c>
      <c r="BM78">
        <v>182.8</v>
      </c>
      <c r="BN78">
        <v>159.80000000000001</v>
      </c>
      <c r="BP78">
        <v>342.6</v>
      </c>
      <c r="BQ78" s="2">
        <v>-2.2818026240730176</v>
      </c>
    </row>
    <row r="79" spans="1:69" x14ac:dyDescent="0.35">
      <c r="A79" t="s">
        <v>33</v>
      </c>
      <c r="B79">
        <v>2021</v>
      </c>
      <c r="C79" t="s">
        <v>31</v>
      </c>
      <c r="D79">
        <v>161</v>
      </c>
      <c r="E79" s="2">
        <v>157.69999999999999</v>
      </c>
      <c r="F79">
        <v>147.9</v>
      </c>
      <c r="G79">
        <v>141.9</v>
      </c>
      <c r="H79">
        <v>159.30000000000001</v>
      </c>
      <c r="I79">
        <v>157.30000000000001</v>
      </c>
      <c r="AD79" t="s">
        <v>33</v>
      </c>
      <c r="AE79">
        <v>2023</v>
      </c>
      <c r="AF79" t="s">
        <v>34</v>
      </c>
      <c r="AG79">
        <v>174.4</v>
      </c>
      <c r="AH79" s="2">
        <v>-0.17172295363479276</v>
      </c>
      <c r="AI79">
        <v>207.7</v>
      </c>
      <c r="AJ79">
        <v>-2.1206409048067862</v>
      </c>
      <c r="AK79">
        <v>175.2</v>
      </c>
      <c r="AL79">
        <v>-1.1286681715575622</v>
      </c>
      <c r="AM79">
        <v>0.50847457627118964</v>
      </c>
      <c r="AN79">
        <v>177.3</v>
      </c>
      <c r="AO79">
        <v>169.5</v>
      </c>
      <c r="AP79">
        <v>-1.5107495642068531</v>
      </c>
      <c r="AQ79">
        <v>152.69999999999999</v>
      </c>
      <c r="AR79">
        <v>-13.139931740614347</v>
      </c>
      <c r="AS79">
        <v>171</v>
      </c>
      <c r="AT79">
        <v>120</v>
      </c>
      <c r="AU79">
        <v>209.7</v>
      </c>
      <c r="AV79">
        <v>172.3</v>
      </c>
      <c r="AW79">
        <v>193</v>
      </c>
      <c r="AX79">
        <v>177</v>
      </c>
      <c r="AY79">
        <v>179.3</v>
      </c>
      <c r="AZ79">
        <v>186.2</v>
      </c>
      <c r="BA79">
        <v>178.7</v>
      </c>
      <c r="BB79">
        <v>185.1</v>
      </c>
      <c r="BC79">
        <v>174.2</v>
      </c>
      <c r="BD79">
        <v>173.5</v>
      </c>
      <c r="BE79">
        <v>170.3</v>
      </c>
      <c r="BF79">
        <v>181</v>
      </c>
      <c r="BG79">
        <v>184.4</v>
      </c>
      <c r="BH79">
        <v>175</v>
      </c>
      <c r="BI79">
        <v>199.5</v>
      </c>
      <c r="BJ79">
        <v>174.1</v>
      </c>
      <c r="BK79">
        <v>177.2</v>
      </c>
      <c r="BM79">
        <v>182.1</v>
      </c>
      <c r="BN79">
        <v>164.2</v>
      </c>
      <c r="BP79">
        <v>346.29999999999995</v>
      </c>
      <c r="BQ79" s="2">
        <v>1.0799766491535119</v>
      </c>
    </row>
    <row r="80" spans="1:69" x14ac:dyDescent="0.35">
      <c r="A80" t="s">
        <v>30</v>
      </c>
      <c r="B80">
        <v>2021</v>
      </c>
      <c r="C80" t="s">
        <v>34</v>
      </c>
      <c r="D80">
        <v>154.69999999999999</v>
      </c>
      <c r="E80" s="2">
        <v>139.2551</v>
      </c>
      <c r="F80">
        <v>154.4</v>
      </c>
      <c r="G80">
        <v>150.19999999999999</v>
      </c>
      <c r="H80">
        <v>164.3</v>
      </c>
      <c r="I80">
        <v>156.69999999999999</v>
      </c>
      <c r="AD80" t="s">
        <v>30</v>
      </c>
      <c r="AE80">
        <v>2023</v>
      </c>
      <c r="AF80" t="s">
        <v>35</v>
      </c>
      <c r="AG80">
        <v>174.3</v>
      </c>
      <c r="AH80" s="2">
        <v>-5.7339449541281146E-2</v>
      </c>
      <c r="AI80">
        <v>205.2</v>
      </c>
      <c r="AJ80">
        <v>-1.203659123736158</v>
      </c>
      <c r="AK80">
        <v>173.9</v>
      </c>
      <c r="AL80">
        <v>-0.74200913242008171</v>
      </c>
      <c r="AM80">
        <v>-0.33726812816188545</v>
      </c>
      <c r="AN80">
        <v>177</v>
      </c>
      <c r="AO80">
        <v>167.2</v>
      </c>
      <c r="AP80">
        <v>-1.3569321533923371</v>
      </c>
      <c r="AQ80">
        <v>140.9</v>
      </c>
      <c r="AR80">
        <v>-7.727570399476086</v>
      </c>
      <c r="AS80">
        <v>170.5</v>
      </c>
      <c r="AT80">
        <v>119.1</v>
      </c>
      <c r="AU80">
        <v>212.1</v>
      </c>
      <c r="AV80">
        <v>177.6</v>
      </c>
      <c r="AW80">
        <v>189.9</v>
      </c>
      <c r="AX80">
        <v>174.8</v>
      </c>
      <c r="AY80">
        <v>183.3</v>
      </c>
      <c r="AZ80">
        <v>190</v>
      </c>
      <c r="BA80">
        <v>187</v>
      </c>
      <c r="BB80">
        <v>189.6</v>
      </c>
      <c r="BC80">
        <v>178.6</v>
      </c>
      <c r="BD80">
        <v>139.2551</v>
      </c>
      <c r="BE80">
        <v>172.8</v>
      </c>
      <c r="BF80">
        <v>180.7</v>
      </c>
      <c r="BG80">
        <v>186.6</v>
      </c>
      <c r="BH80">
        <v>178.5</v>
      </c>
      <c r="BI80">
        <v>198.4</v>
      </c>
      <c r="BJ80">
        <v>177.9</v>
      </c>
      <c r="BK80">
        <v>178</v>
      </c>
      <c r="BM80">
        <v>181.4</v>
      </c>
      <c r="BN80">
        <v>169</v>
      </c>
      <c r="BP80">
        <v>350.4</v>
      </c>
      <c r="BQ80" s="2">
        <v>1.1839445567427154</v>
      </c>
    </row>
    <row r="81" spans="1:69" x14ac:dyDescent="0.35">
      <c r="A81" t="s">
        <v>32</v>
      </c>
      <c r="B81">
        <v>2021</v>
      </c>
      <c r="C81" t="s">
        <v>34</v>
      </c>
      <c r="D81">
        <v>160.80000000000001</v>
      </c>
      <c r="E81" s="2">
        <v>159.80000000000001</v>
      </c>
      <c r="F81">
        <v>149.1</v>
      </c>
      <c r="G81">
        <v>140.5</v>
      </c>
      <c r="H81">
        <v>156.30000000000001</v>
      </c>
      <c r="I81">
        <v>156.5</v>
      </c>
      <c r="AD81" t="s">
        <v>32</v>
      </c>
      <c r="AE81">
        <v>2023</v>
      </c>
      <c r="AF81" t="s">
        <v>35</v>
      </c>
      <c r="AG81">
        <v>174.7</v>
      </c>
      <c r="AH81" s="2">
        <v>0.22948938611587907</v>
      </c>
      <c r="AI81">
        <v>212.2</v>
      </c>
      <c r="AJ81">
        <v>3.4113060428849908</v>
      </c>
      <c r="AK81">
        <v>177.2</v>
      </c>
      <c r="AL81">
        <v>1.8976423231742281</v>
      </c>
      <c r="AM81">
        <v>-0.1692047377326629</v>
      </c>
      <c r="AN81">
        <v>177.9</v>
      </c>
      <c r="AO81">
        <v>172.1</v>
      </c>
      <c r="AP81">
        <v>2.9306220095693813</v>
      </c>
      <c r="AQ81">
        <v>175.9</v>
      </c>
      <c r="AR81">
        <v>24.840312278211496</v>
      </c>
      <c r="AS81">
        <v>172.2</v>
      </c>
      <c r="AT81">
        <v>121.9</v>
      </c>
      <c r="AU81">
        <v>204.8</v>
      </c>
      <c r="AV81">
        <v>164.9</v>
      </c>
      <c r="AW81">
        <v>196.6</v>
      </c>
      <c r="AX81">
        <v>180.8</v>
      </c>
      <c r="AY81">
        <v>172.2</v>
      </c>
      <c r="AZ81">
        <v>180.2</v>
      </c>
      <c r="BA81">
        <v>167</v>
      </c>
      <c r="BB81">
        <v>178.2</v>
      </c>
      <c r="BC81">
        <v>169.2</v>
      </c>
      <c r="BD81">
        <v>173.5</v>
      </c>
      <c r="BE81">
        <v>168.4</v>
      </c>
      <c r="BF81">
        <v>181.5</v>
      </c>
      <c r="BG81">
        <v>180.8</v>
      </c>
      <c r="BH81">
        <v>172.5</v>
      </c>
      <c r="BI81">
        <v>202.7</v>
      </c>
      <c r="BJ81">
        <v>170</v>
      </c>
      <c r="BK81">
        <v>176.3</v>
      </c>
      <c r="BM81">
        <v>182.6</v>
      </c>
      <c r="BN81">
        <v>159.80000000000001</v>
      </c>
      <c r="BP81">
        <v>342.4</v>
      </c>
      <c r="BQ81" s="2">
        <v>-2.2831050228310503</v>
      </c>
    </row>
    <row r="82" spans="1:69" x14ac:dyDescent="0.35">
      <c r="A82" t="s">
        <v>33</v>
      </c>
      <c r="B82">
        <v>2021</v>
      </c>
      <c r="C82" t="s">
        <v>34</v>
      </c>
      <c r="D82">
        <v>156.9</v>
      </c>
      <c r="E82" s="2">
        <v>159.80000000000001</v>
      </c>
      <c r="F82">
        <v>152.4</v>
      </c>
      <c r="G82">
        <v>145.1</v>
      </c>
      <c r="H82">
        <v>161.30000000000001</v>
      </c>
      <c r="I82">
        <v>156.6</v>
      </c>
      <c r="AD82" t="s">
        <v>33</v>
      </c>
      <c r="AE82">
        <v>2023</v>
      </c>
      <c r="AF82" t="s">
        <v>35</v>
      </c>
      <c r="AG82">
        <v>174.4</v>
      </c>
      <c r="AH82" s="2">
        <v>-0.17172295363479276</v>
      </c>
      <c r="AI82">
        <v>207.7</v>
      </c>
      <c r="AJ82">
        <v>-2.1206409048067862</v>
      </c>
      <c r="AK82">
        <v>175.2</v>
      </c>
      <c r="AL82">
        <v>-1.1286681715575622</v>
      </c>
      <c r="AM82">
        <v>0.50847457627118964</v>
      </c>
      <c r="AN82">
        <v>177.3</v>
      </c>
      <c r="AO82">
        <v>169.5</v>
      </c>
      <c r="AP82">
        <v>-1.5107495642068531</v>
      </c>
      <c r="AQ82">
        <v>152.80000000000001</v>
      </c>
      <c r="AR82">
        <v>-13.132461625923817</v>
      </c>
      <c r="AS82">
        <v>171.1</v>
      </c>
      <c r="AT82">
        <v>120</v>
      </c>
      <c r="AU82">
        <v>209.7</v>
      </c>
      <c r="AV82">
        <v>172.3</v>
      </c>
      <c r="AW82">
        <v>193</v>
      </c>
      <c r="AX82">
        <v>177</v>
      </c>
      <c r="AY82">
        <v>179.2</v>
      </c>
      <c r="AZ82">
        <v>186.1</v>
      </c>
      <c r="BA82">
        <v>178.7</v>
      </c>
      <c r="BB82">
        <v>185.1</v>
      </c>
      <c r="BC82">
        <v>174.2</v>
      </c>
      <c r="BD82">
        <v>173.5</v>
      </c>
      <c r="BE82">
        <v>170.3</v>
      </c>
      <c r="BF82">
        <v>181</v>
      </c>
      <c r="BG82">
        <v>184.4</v>
      </c>
      <c r="BH82">
        <v>175</v>
      </c>
      <c r="BI82">
        <v>199.5</v>
      </c>
      <c r="BJ82">
        <v>174.1</v>
      </c>
      <c r="BK82">
        <v>177.2</v>
      </c>
      <c r="BM82">
        <v>181.9</v>
      </c>
      <c r="BN82">
        <v>164.2</v>
      </c>
      <c r="BP82">
        <v>346.1</v>
      </c>
      <c r="BQ82" s="2">
        <v>1.0806074766355274</v>
      </c>
    </row>
    <row r="83" spans="1:69" x14ac:dyDescent="0.35">
      <c r="A83" t="s">
        <v>30</v>
      </c>
      <c r="B83">
        <v>2021</v>
      </c>
      <c r="C83" t="s">
        <v>35</v>
      </c>
      <c r="D83">
        <v>154.5</v>
      </c>
      <c r="E83" s="2">
        <v>139.2551</v>
      </c>
      <c r="F83">
        <v>156</v>
      </c>
      <c r="G83">
        <v>151.30000000000001</v>
      </c>
      <c r="H83">
        <v>164.6</v>
      </c>
      <c r="I83">
        <v>156.69999999999999</v>
      </c>
      <c r="AD83" t="s">
        <v>30</v>
      </c>
      <c r="AE83">
        <v>2023</v>
      </c>
      <c r="AF83" t="s">
        <v>36</v>
      </c>
      <c r="AG83">
        <v>173.3</v>
      </c>
      <c r="AH83" s="2">
        <v>-0.63073394495412516</v>
      </c>
      <c r="AI83">
        <v>206.9</v>
      </c>
      <c r="AJ83">
        <v>-0.38517091959556232</v>
      </c>
      <c r="AK83">
        <v>167.9</v>
      </c>
      <c r="AL83">
        <v>-4.1666666666666572</v>
      </c>
      <c r="AM83">
        <v>-0.33726812816188545</v>
      </c>
      <c r="AN83">
        <v>178.2</v>
      </c>
      <c r="AO83">
        <v>173.7</v>
      </c>
      <c r="AP83">
        <v>2.4778761061946835</v>
      </c>
      <c r="AQ83">
        <v>142.80000000000001</v>
      </c>
      <c r="AR83">
        <v>-6.5445026178010473</v>
      </c>
      <c r="AS83">
        <v>172.8</v>
      </c>
      <c r="AT83">
        <v>120.4</v>
      </c>
      <c r="AU83">
        <v>215.5</v>
      </c>
      <c r="AV83">
        <v>178.2</v>
      </c>
      <c r="AW83">
        <v>190.5</v>
      </c>
      <c r="AX83">
        <v>175.5</v>
      </c>
      <c r="AY83">
        <v>178.5</v>
      </c>
      <c r="AZ83">
        <v>190.7</v>
      </c>
      <c r="BA83">
        <v>187.3</v>
      </c>
      <c r="BB83">
        <v>190.2</v>
      </c>
      <c r="BC83">
        <v>179.1</v>
      </c>
      <c r="BD83">
        <v>139.2551</v>
      </c>
      <c r="BE83">
        <v>173.2</v>
      </c>
      <c r="BF83">
        <v>183.8</v>
      </c>
      <c r="BG83">
        <v>187.2</v>
      </c>
      <c r="BH83">
        <v>179.4</v>
      </c>
      <c r="BI83">
        <v>199.5</v>
      </c>
      <c r="BJ83">
        <v>178.9</v>
      </c>
      <c r="BK83">
        <v>178.8</v>
      </c>
      <c r="BM83">
        <v>181.5</v>
      </c>
      <c r="BN83">
        <v>169.4</v>
      </c>
      <c r="BP83">
        <v>350.9</v>
      </c>
      <c r="BQ83" s="2">
        <v>1.3868824039294869</v>
      </c>
    </row>
    <row r="84" spans="1:69" x14ac:dyDescent="0.35">
      <c r="A84" t="s">
        <v>32</v>
      </c>
      <c r="B84">
        <v>2021</v>
      </c>
      <c r="C84" t="s">
        <v>35</v>
      </c>
      <c r="D84">
        <v>160.4</v>
      </c>
      <c r="E84" s="2">
        <v>159.9</v>
      </c>
      <c r="F84">
        <v>154.80000000000001</v>
      </c>
      <c r="G84">
        <v>141.69999999999999</v>
      </c>
      <c r="H84">
        <v>156.9</v>
      </c>
      <c r="I84">
        <v>156.9</v>
      </c>
      <c r="AD84" t="s">
        <v>32</v>
      </c>
      <c r="AE84">
        <v>2023</v>
      </c>
      <c r="AF84" t="s">
        <v>36</v>
      </c>
      <c r="AG84">
        <v>174.8</v>
      </c>
      <c r="AH84" s="2">
        <v>0.86555106751298316</v>
      </c>
      <c r="AI84">
        <v>213.7</v>
      </c>
      <c r="AJ84">
        <v>3.2866118898018284</v>
      </c>
      <c r="AK84">
        <v>172.4</v>
      </c>
      <c r="AL84">
        <v>2.6801667659321025</v>
      </c>
      <c r="AM84">
        <v>0.50761421319795663</v>
      </c>
      <c r="AN84">
        <v>178.8</v>
      </c>
      <c r="AO84">
        <v>179.2</v>
      </c>
      <c r="AP84">
        <v>3.1663788140472082</v>
      </c>
      <c r="AQ84">
        <v>179.9</v>
      </c>
      <c r="AR84">
        <v>25.980392156862742</v>
      </c>
      <c r="AS84">
        <v>174.7</v>
      </c>
      <c r="AT84">
        <v>123.1</v>
      </c>
      <c r="AU84">
        <v>207.8</v>
      </c>
      <c r="AV84">
        <v>165.5</v>
      </c>
      <c r="AW84">
        <v>197</v>
      </c>
      <c r="AX84">
        <v>182.1</v>
      </c>
      <c r="AY84">
        <v>168.7</v>
      </c>
      <c r="AZ84">
        <v>181</v>
      </c>
      <c r="BA84">
        <v>167.7</v>
      </c>
      <c r="BB84">
        <v>178.9</v>
      </c>
      <c r="BC84">
        <v>169.6</v>
      </c>
      <c r="BD84">
        <v>175.2</v>
      </c>
      <c r="BE84">
        <v>168.8</v>
      </c>
      <c r="BF84">
        <v>184.4</v>
      </c>
      <c r="BG84">
        <v>181.5</v>
      </c>
      <c r="BH84">
        <v>174.2</v>
      </c>
      <c r="BI84">
        <v>203.5</v>
      </c>
      <c r="BJ84">
        <v>170.9</v>
      </c>
      <c r="BK84">
        <v>177.4</v>
      </c>
      <c r="BM84">
        <v>182.1</v>
      </c>
      <c r="BN84">
        <v>160.1</v>
      </c>
      <c r="BP84">
        <v>342.2</v>
      </c>
      <c r="BQ84" s="2">
        <v>-2.4793388429752037</v>
      </c>
    </row>
    <row r="85" spans="1:69" x14ac:dyDescent="0.35">
      <c r="A85" t="s">
        <v>33</v>
      </c>
      <c r="B85">
        <v>2021</v>
      </c>
      <c r="C85" t="s">
        <v>35</v>
      </c>
      <c r="D85">
        <v>156.69999999999999</v>
      </c>
      <c r="E85" s="2">
        <v>159.9</v>
      </c>
      <c r="F85">
        <v>155.5</v>
      </c>
      <c r="G85">
        <v>146.19999999999999</v>
      </c>
      <c r="H85">
        <v>161.69999999999999</v>
      </c>
      <c r="I85">
        <v>156.80000000000001</v>
      </c>
      <c r="AD85" t="s">
        <v>33</v>
      </c>
      <c r="AE85">
        <v>2023</v>
      </c>
      <c r="AF85" t="s">
        <v>36</v>
      </c>
      <c r="AG85">
        <v>173.8</v>
      </c>
      <c r="AH85" s="2">
        <v>-0.57208237986270016</v>
      </c>
      <c r="AI85">
        <v>209.3</v>
      </c>
      <c r="AJ85">
        <v>-2.0589611605053708</v>
      </c>
      <c r="AK85">
        <v>169.6</v>
      </c>
      <c r="AL85">
        <v>-1.6241299303944381</v>
      </c>
      <c r="AM85">
        <v>0.33670033670034949</v>
      </c>
      <c r="AN85">
        <v>178.4</v>
      </c>
      <c r="AO85">
        <v>176.3</v>
      </c>
      <c r="AP85">
        <v>-1.6183035714285587</v>
      </c>
      <c r="AQ85">
        <v>155.4</v>
      </c>
      <c r="AR85">
        <v>-13.618677042801556</v>
      </c>
      <c r="AS85">
        <v>173.4</v>
      </c>
      <c r="AT85">
        <v>121.3</v>
      </c>
      <c r="AU85">
        <v>212.9</v>
      </c>
      <c r="AV85">
        <v>172.9</v>
      </c>
      <c r="AW85">
        <v>193.5</v>
      </c>
      <c r="AX85">
        <v>177.9</v>
      </c>
      <c r="AY85">
        <v>174.9</v>
      </c>
      <c r="AZ85">
        <v>186.9</v>
      </c>
      <c r="BA85">
        <v>179.2</v>
      </c>
      <c r="BB85">
        <v>185.7</v>
      </c>
      <c r="BC85">
        <v>174.6</v>
      </c>
      <c r="BD85">
        <v>175.2</v>
      </c>
      <c r="BE85">
        <v>170.7</v>
      </c>
      <c r="BF85">
        <v>184</v>
      </c>
      <c r="BG85">
        <v>185</v>
      </c>
      <c r="BH85">
        <v>176.4</v>
      </c>
      <c r="BI85">
        <v>200.6</v>
      </c>
      <c r="BJ85">
        <v>175</v>
      </c>
      <c r="BK85">
        <v>178.1</v>
      </c>
      <c r="BM85">
        <v>181.7</v>
      </c>
      <c r="BN85">
        <v>164.5</v>
      </c>
      <c r="BP85">
        <v>346.2</v>
      </c>
      <c r="BQ85" s="2">
        <v>1.168907071887785</v>
      </c>
    </row>
    <row r="86" spans="1:69" x14ac:dyDescent="0.35">
      <c r="A86" t="s">
        <v>30</v>
      </c>
      <c r="B86">
        <v>2021</v>
      </c>
      <c r="C86" t="s">
        <v>36</v>
      </c>
      <c r="D86">
        <v>155.6</v>
      </c>
      <c r="E86" s="2">
        <v>139.2551</v>
      </c>
      <c r="F86">
        <v>156</v>
      </c>
      <c r="G86">
        <v>151.69999999999999</v>
      </c>
      <c r="H86">
        <v>165.3</v>
      </c>
      <c r="I86">
        <v>157.6</v>
      </c>
      <c r="AD86" t="s">
        <v>30</v>
      </c>
      <c r="AE86">
        <v>2023</v>
      </c>
      <c r="AF86" t="s">
        <v>37</v>
      </c>
      <c r="AG86">
        <v>173.2</v>
      </c>
      <c r="AH86" s="2">
        <v>-0.34522439585732034</v>
      </c>
      <c r="AI86">
        <v>211.5</v>
      </c>
      <c r="AJ86">
        <v>1.0511227902532196</v>
      </c>
      <c r="AK86">
        <v>171</v>
      </c>
      <c r="AL86">
        <v>0.82547169811321097</v>
      </c>
      <c r="AM86">
        <v>-0.22371364653244163</v>
      </c>
      <c r="AN86">
        <v>179.6</v>
      </c>
      <c r="AO86">
        <v>169</v>
      </c>
      <c r="AP86">
        <v>-4.1406693136698873</v>
      </c>
      <c r="AQ86">
        <v>148.69999999999999</v>
      </c>
      <c r="AR86">
        <v>-4.3114543114543222</v>
      </c>
      <c r="AS86">
        <v>174.9</v>
      </c>
      <c r="AT86">
        <v>121.9</v>
      </c>
      <c r="AU86">
        <v>221</v>
      </c>
      <c r="AV86">
        <v>178.7</v>
      </c>
      <c r="AW86">
        <v>191.1</v>
      </c>
      <c r="AX86">
        <v>176.8</v>
      </c>
      <c r="AY86">
        <v>173.3</v>
      </c>
      <c r="AZ86">
        <v>191.2</v>
      </c>
      <c r="BA86">
        <v>187.9</v>
      </c>
      <c r="BB86">
        <v>190.8</v>
      </c>
      <c r="BC86">
        <v>179.8</v>
      </c>
      <c r="BD86">
        <v>139.2551</v>
      </c>
      <c r="BE86">
        <v>173.8</v>
      </c>
      <c r="BF86">
        <v>184.9</v>
      </c>
      <c r="BG86">
        <v>187.8</v>
      </c>
      <c r="BH86">
        <v>180.3</v>
      </c>
      <c r="BI86">
        <v>199.9</v>
      </c>
      <c r="BJ86">
        <v>179.5</v>
      </c>
      <c r="BK86">
        <v>179.8</v>
      </c>
      <c r="BM86">
        <v>182.5</v>
      </c>
      <c r="BN86">
        <v>169.7</v>
      </c>
      <c r="BP86">
        <v>352.2</v>
      </c>
      <c r="BQ86" s="2">
        <v>1.733102253032929</v>
      </c>
    </row>
    <row r="87" spans="1:69" x14ac:dyDescent="0.35">
      <c r="A87" t="s">
        <v>32</v>
      </c>
      <c r="B87">
        <v>2021</v>
      </c>
      <c r="C87" t="s">
        <v>36</v>
      </c>
      <c r="D87">
        <v>162</v>
      </c>
      <c r="E87" s="2">
        <v>161.4</v>
      </c>
      <c r="F87">
        <v>154.9</v>
      </c>
      <c r="G87">
        <v>142.1</v>
      </c>
      <c r="H87">
        <v>157.5</v>
      </c>
      <c r="I87">
        <v>158</v>
      </c>
      <c r="AD87" t="s">
        <v>32</v>
      </c>
      <c r="AE87">
        <v>2023</v>
      </c>
      <c r="AF87" t="s">
        <v>37</v>
      </c>
      <c r="AG87">
        <v>174.7</v>
      </c>
      <c r="AH87" s="2">
        <v>0.86605080831408787</v>
      </c>
      <c r="AI87">
        <v>219.4</v>
      </c>
      <c r="AJ87">
        <v>3.7352245862884188</v>
      </c>
      <c r="AK87">
        <v>176.7</v>
      </c>
      <c r="AL87">
        <v>3.3333333333333264</v>
      </c>
      <c r="AM87">
        <v>0.67264573991030752</v>
      </c>
      <c r="AN87">
        <v>179.4</v>
      </c>
      <c r="AO87">
        <v>175.8</v>
      </c>
      <c r="AP87">
        <v>4.0236686390532617</v>
      </c>
      <c r="AQ87">
        <v>185</v>
      </c>
      <c r="AR87">
        <v>24.411566913248159</v>
      </c>
      <c r="AS87">
        <v>176.9</v>
      </c>
      <c r="AT87">
        <v>124.2</v>
      </c>
      <c r="AU87">
        <v>211.9</v>
      </c>
      <c r="AV87">
        <v>165.9</v>
      </c>
      <c r="AW87">
        <v>197.7</v>
      </c>
      <c r="AX87">
        <v>183.1</v>
      </c>
      <c r="AY87">
        <v>164.4</v>
      </c>
      <c r="AZ87">
        <v>181.3</v>
      </c>
      <c r="BA87">
        <v>168.1</v>
      </c>
      <c r="BB87">
        <v>179.3</v>
      </c>
      <c r="BC87">
        <v>170.1</v>
      </c>
      <c r="BD87">
        <v>175.6</v>
      </c>
      <c r="BE87">
        <v>169.2</v>
      </c>
      <c r="BF87">
        <v>185.6</v>
      </c>
      <c r="BG87">
        <v>182.2</v>
      </c>
      <c r="BH87">
        <v>174.8</v>
      </c>
      <c r="BI87">
        <v>204.2</v>
      </c>
      <c r="BJ87">
        <v>171.6</v>
      </c>
      <c r="BK87">
        <v>178.2</v>
      </c>
      <c r="BM87">
        <v>183.4</v>
      </c>
      <c r="BN87">
        <v>160.4</v>
      </c>
      <c r="BP87">
        <v>343.8</v>
      </c>
      <c r="BQ87" s="2">
        <v>-2.3850085178875573</v>
      </c>
    </row>
    <row r="88" spans="1:69" x14ac:dyDescent="0.35">
      <c r="A88" t="s">
        <v>33</v>
      </c>
      <c r="B88">
        <v>2021</v>
      </c>
      <c r="C88" t="s">
        <v>36</v>
      </c>
      <c r="D88">
        <v>158</v>
      </c>
      <c r="E88" s="2">
        <v>161.4</v>
      </c>
      <c r="F88">
        <v>155.6</v>
      </c>
      <c r="G88">
        <v>146.6</v>
      </c>
      <c r="H88">
        <v>162.30000000000001</v>
      </c>
      <c r="I88">
        <v>157.80000000000001</v>
      </c>
      <c r="AD88" t="s">
        <v>33</v>
      </c>
      <c r="AE88">
        <v>2023</v>
      </c>
      <c r="AF88" t="s">
        <v>37</v>
      </c>
      <c r="AG88">
        <v>173.7</v>
      </c>
      <c r="AH88" s="2">
        <v>-0.5724098454493417</v>
      </c>
      <c r="AI88">
        <v>214.3</v>
      </c>
      <c r="AJ88">
        <v>-2.3245214220601613</v>
      </c>
      <c r="AK88">
        <v>173.2</v>
      </c>
      <c r="AL88">
        <v>-1.9807583474816073</v>
      </c>
      <c r="AM88">
        <v>-0.11135857461023865</v>
      </c>
      <c r="AN88">
        <v>179.5</v>
      </c>
      <c r="AO88">
        <v>172.2</v>
      </c>
      <c r="AP88">
        <v>-2.047781569965883</v>
      </c>
      <c r="AQ88">
        <v>161</v>
      </c>
      <c r="AR88">
        <v>-12.972972972972974</v>
      </c>
      <c r="AS88">
        <v>175.6</v>
      </c>
      <c r="AT88">
        <v>122.7</v>
      </c>
      <c r="AU88">
        <v>218</v>
      </c>
      <c r="AV88">
        <v>173.4</v>
      </c>
      <c r="AW88">
        <v>194.2</v>
      </c>
      <c r="AX88">
        <v>179.1</v>
      </c>
      <c r="AY88">
        <v>170</v>
      </c>
      <c r="AZ88">
        <v>187.3</v>
      </c>
      <c r="BA88">
        <v>179.7</v>
      </c>
      <c r="BB88">
        <v>186.2</v>
      </c>
      <c r="BC88">
        <v>175.2</v>
      </c>
      <c r="BD88">
        <v>175.6</v>
      </c>
      <c r="BE88">
        <v>171.2</v>
      </c>
      <c r="BF88">
        <v>185.2</v>
      </c>
      <c r="BG88">
        <v>185.7</v>
      </c>
      <c r="BH88">
        <v>177.1</v>
      </c>
      <c r="BI88">
        <v>201</v>
      </c>
      <c r="BJ88">
        <v>175.7</v>
      </c>
      <c r="BK88">
        <v>179.1</v>
      </c>
      <c r="BM88">
        <v>182.8</v>
      </c>
      <c r="BN88">
        <v>164.8</v>
      </c>
      <c r="BP88">
        <v>347.6</v>
      </c>
      <c r="BQ88" s="2">
        <v>1.1052937754508467</v>
      </c>
    </row>
    <row r="89" spans="1:69" x14ac:dyDescent="0.35">
      <c r="A89" t="s">
        <v>30</v>
      </c>
      <c r="B89">
        <v>2021</v>
      </c>
      <c r="C89" t="s">
        <v>37</v>
      </c>
      <c r="D89">
        <v>158.69999999999999</v>
      </c>
      <c r="E89" s="2">
        <v>139.2551</v>
      </c>
      <c r="F89">
        <v>161.69999999999999</v>
      </c>
      <c r="G89">
        <v>153.19999999999999</v>
      </c>
      <c r="H89">
        <v>169.1</v>
      </c>
      <c r="I89">
        <v>161.1</v>
      </c>
    </row>
    <row r="90" spans="1:69" x14ac:dyDescent="0.35">
      <c r="A90" t="s">
        <v>32</v>
      </c>
      <c r="B90">
        <v>2021</v>
      </c>
      <c r="C90" t="s">
        <v>37</v>
      </c>
      <c r="D90">
        <v>164.2</v>
      </c>
      <c r="E90" s="2">
        <v>161.6</v>
      </c>
      <c r="F90">
        <v>155.5</v>
      </c>
      <c r="G90">
        <v>145</v>
      </c>
      <c r="H90">
        <v>160.4</v>
      </c>
      <c r="I90">
        <v>159.5</v>
      </c>
    </row>
    <row r="91" spans="1:69" x14ac:dyDescent="0.35">
      <c r="A91" t="s">
        <v>33</v>
      </c>
      <c r="B91">
        <v>2021</v>
      </c>
      <c r="C91" t="s">
        <v>37</v>
      </c>
      <c r="D91">
        <v>160.69999999999999</v>
      </c>
      <c r="E91" s="2">
        <v>161.6</v>
      </c>
      <c r="F91">
        <v>159.4</v>
      </c>
      <c r="G91">
        <v>148.9</v>
      </c>
      <c r="H91">
        <v>165.8</v>
      </c>
      <c r="I91">
        <v>160.4</v>
      </c>
    </row>
    <row r="92" spans="1:69" x14ac:dyDescent="0.35">
      <c r="A92" t="s">
        <v>30</v>
      </c>
      <c r="B92">
        <v>2021</v>
      </c>
      <c r="C92" t="s">
        <v>38</v>
      </c>
      <c r="D92">
        <v>160.5</v>
      </c>
      <c r="E92" s="2">
        <v>139.2551</v>
      </c>
      <c r="F92">
        <v>162.1</v>
      </c>
      <c r="G92">
        <v>154.19999999999999</v>
      </c>
      <c r="H92">
        <v>169.7</v>
      </c>
      <c r="I92">
        <v>162.1</v>
      </c>
    </row>
    <row r="93" spans="1:69" x14ac:dyDescent="0.35">
      <c r="A93" t="s">
        <v>32</v>
      </c>
      <c r="B93">
        <v>2021</v>
      </c>
      <c r="C93" t="s">
        <v>38</v>
      </c>
      <c r="D93">
        <v>166.2</v>
      </c>
      <c r="E93" s="2">
        <v>160.5</v>
      </c>
      <c r="F93">
        <v>156.1</v>
      </c>
      <c r="G93">
        <v>147.5</v>
      </c>
      <c r="H93">
        <v>160.80000000000001</v>
      </c>
      <c r="I93">
        <v>160.4</v>
      </c>
    </row>
    <row r="94" spans="1:69" x14ac:dyDescent="0.35">
      <c r="A94" t="s">
        <v>33</v>
      </c>
      <c r="B94">
        <v>2021</v>
      </c>
      <c r="C94" t="s">
        <v>38</v>
      </c>
      <c r="D94">
        <v>162.6</v>
      </c>
      <c r="E94" s="2">
        <v>160.5</v>
      </c>
      <c r="F94">
        <v>159.80000000000001</v>
      </c>
      <c r="G94">
        <v>150.69999999999999</v>
      </c>
      <c r="H94">
        <v>166.3</v>
      </c>
      <c r="I94">
        <v>161.30000000000001</v>
      </c>
      <c r="AD94" t="s">
        <v>10</v>
      </c>
      <c r="AE94" t="s">
        <v>11</v>
      </c>
      <c r="AF94" t="s">
        <v>12</v>
      </c>
      <c r="AG94" t="s">
        <v>13</v>
      </c>
      <c r="AH94" t="s">
        <v>14</v>
      </c>
      <c r="AI94" t="s">
        <v>15</v>
      </c>
      <c r="AJ94" t="s">
        <v>7</v>
      </c>
      <c r="AK94" t="s">
        <v>17</v>
      </c>
      <c r="AL94" t="s">
        <v>18</v>
      </c>
      <c r="AM94" t="s">
        <v>19</v>
      </c>
      <c r="AN94" t="s">
        <v>22</v>
      </c>
      <c r="AO94" t="s">
        <v>20</v>
      </c>
      <c r="AP94" t="s">
        <v>25</v>
      </c>
      <c r="AQ94" t="s">
        <v>27</v>
      </c>
      <c r="AR94" t="s">
        <v>23</v>
      </c>
      <c r="AS94" t="s">
        <v>26</v>
      </c>
      <c r="AT94" t="s">
        <v>16</v>
      </c>
      <c r="AU94" t="s">
        <v>28</v>
      </c>
      <c r="AV94" t="s">
        <v>29</v>
      </c>
    </row>
    <row r="95" spans="1:69" x14ac:dyDescent="0.35">
      <c r="A95" t="s">
        <v>30</v>
      </c>
      <c r="B95">
        <v>2021</v>
      </c>
      <c r="C95" t="s">
        <v>39</v>
      </c>
      <c r="D95">
        <v>161.69999999999999</v>
      </c>
      <c r="E95" s="2">
        <v>139.2551</v>
      </c>
      <c r="F95">
        <v>162.5</v>
      </c>
      <c r="G95">
        <v>157.1</v>
      </c>
      <c r="H95">
        <v>170.4</v>
      </c>
      <c r="I95">
        <v>163.19999999999999</v>
      </c>
      <c r="AD95">
        <v>1.6300940438871439</v>
      </c>
      <c r="AE95">
        <v>2.1968365553602811</v>
      </c>
      <c r="AF95">
        <v>-0.91185410334346495</v>
      </c>
      <c r="AG95">
        <v>-6.5342729019858989</v>
      </c>
      <c r="AH95">
        <v>1.7650639074862917</v>
      </c>
      <c r="AI95">
        <v>2.380952380952388</v>
      </c>
      <c r="AJ95">
        <v>-6.9121447028423875</v>
      </c>
      <c r="AK95">
        <v>-3.1746031746031744</v>
      </c>
      <c r="AL95">
        <v>-9.9081364829396286</v>
      </c>
      <c r="AM95">
        <v>-4.2091836734694024</v>
      </c>
      <c r="AN95">
        <v>-5.328135152696567</v>
      </c>
      <c r="AO95">
        <v>13.245403579473921</v>
      </c>
      <c r="AP95">
        <v>-6.2540296582849706</v>
      </c>
      <c r="AQ95">
        <v>0.96030729833546746</v>
      </c>
      <c r="AR95">
        <v>-5.1692307692307722</v>
      </c>
      <c r="AS95">
        <v>-4.5259938837920526</v>
      </c>
      <c r="AT95">
        <v>3.9003250270856</v>
      </c>
      <c r="AU95">
        <v>-5.3239255933290641</v>
      </c>
      <c r="AV95">
        <v>-1.5772870662460567</v>
      </c>
    </row>
    <row r="96" spans="1:69" x14ac:dyDescent="0.35">
      <c r="A96" t="s">
        <v>32</v>
      </c>
      <c r="B96">
        <v>2021</v>
      </c>
      <c r="C96" t="s">
        <v>39</v>
      </c>
      <c r="D96">
        <v>167.9</v>
      </c>
      <c r="E96" s="2">
        <v>161.5</v>
      </c>
      <c r="F96">
        <v>157.69999999999999</v>
      </c>
      <c r="G96">
        <v>149.5</v>
      </c>
      <c r="H96">
        <v>161.5</v>
      </c>
      <c r="I96">
        <v>161.80000000000001</v>
      </c>
      <c r="AD96">
        <v>-1.0487353485502706</v>
      </c>
      <c r="AE96">
        <v>-1.4617368873602776</v>
      </c>
      <c r="AF96">
        <v>0.61349693251533743</v>
      </c>
      <c r="AG96">
        <v>4.0438656614119299</v>
      </c>
      <c r="AH96">
        <v>-0.95693779904305887</v>
      </c>
      <c r="AI96">
        <v>-1.4687882496940059</v>
      </c>
      <c r="AJ96">
        <v>4.7189451769604522</v>
      </c>
      <c r="AK96">
        <v>1.9672131147540985</v>
      </c>
      <c r="AL96">
        <v>6.4093226511289014</v>
      </c>
      <c r="AM96">
        <v>2.6631158455392812</v>
      </c>
      <c r="AN96">
        <v>2.9512697323267068</v>
      </c>
      <c r="AO96">
        <v>0</v>
      </c>
      <c r="AP96">
        <v>2.8885832187070073</v>
      </c>
      <c r="AQ96">
        <v>-0.57070386810398055</v>
      </c>
      <c r="AR96">
        <v>3.3744321868916396</v>
      </c>
      <c r="AS96">
        <v>1.9859064702113995</v>
      </c>
      <c r="AT96">
        <v>-2.7632950990615281</v>
      </c>
      <c r="AU96">
        <v>2.9132791327913359</v>
      </c>
      <c r="AV96">
        <v>0.83333333333334059</v>
      </c>
    </row>
    <row r="97" spans="1:89" x14ac:dyDescent="0.35">
      <c r="A97" t="s">
        <v>33</v>
      </c>
      <c r="B97">
        <v>2021</v>
      </c>
      <c r="C97" t="s">
        <v>39</v>
      </c>
      <c r="D97">
        <v>164</v>
      </c>
      <c r="E97" s="2">
        <v>161.5</v>
      </c>
      <c r="F97">
        <v>160.69999999999999</v>
      </c>
      <c r="G97">
        <v>153.1</v>
      </c>
      <c r="H97">
        <v>167</v>
      </c>
      <c r="I97">
        <v>162.5</v>
      </c>
      <c r="AD97">
        <v>-1.3092269326683255</v>
      </c>
      <c r="AE97">
        <v>-2.4432809773123885</v>
      </c>
      <c r="AF97">
        <v>0.6097560975609756</v>
      </c>
      <c r="AG97">
        <v>5.4018445322793065</v>
      </c>
      <c r="AH97">
        <v>0.12077294685991367</v>
      </c>
      <c r="AI97">
        <v>-3.9130434782608767</v>
      </c>
      <c r="AJ97">
        <v>8.0185553346587106</v>
      </c>
      <c r="AK97">
        <v>2.3151125401929225</v>
      </c>
      <c r="AL97">
        <v>5.3388090349076052</v>
      </c>
      <c r="AM97">
        <v>2.7237354085603225</v>
      </c>
      <c r="AN97">
        <v>3.2000000000000077</v>
      </c>
      <c r="AO97">
        <v>-11.696195307545967</v>
      </c>
      <c r="AP97">
        <v>4.9465240641711272</v>
      </c>
      <c r="AQ97">
        <v>-1.0204081632653206</v>
      </c>
      <c r="AR97">
        <v>3.1387319522912738</v>
      </c>
      <c r="AS97">
        <v>2.7638190954773907</v>
      </c>
      <c r="AT97">
        <v>0</v>
      </c>
      <c r="AU97">
        <v>3.4891375905200674</v>
      </c>
      <c r="AV97">
        <v>-0.38143674507312314</v>
      </c>
    </row>
    <row r="98" spans="1:89" x14ac:dyDescent="0.35">
      <c r="A98" t="s">
        <v>30</v>
      </c>
      <c r="B98">
        <v>2021</v>
      </c>
      <c r="C98" t="s">
        <v>40</v>
      </c>
      <c r="D98">
        <v>161.80000000000001</v>
      </c>
      <c r="E98" s="2">
        <v>139.2551</v>
      </c>
      <c r="F98">
        <v>163.1</v>
      </c>
      <c r="G98">
        <v>157.69999999999999</v>
      </c>
      <c r="H98">
        <v>171.1</v>
      </c>
      <c r="I98">
        <v>163.6</v>
      </c>
      <c r="AD98">
        <v>0.94756790903348065</v>
      </c>
      <c r="AE98">
        <v>2.7728085867620829</v>
      </c>
      <c r="AF98">
        <v>-1.5151515151515151</v>
      </c>
      <c r="AG98">
        <v>-6.7500000000000071</v>
      </c>
      <c r="AH98">
        <v>2.1712907117008404</v>
      </c>
      <c r="AI98">
        <v>3.9431157078216055</v>
      </c>
      <c r="AJ98">
        <v>-7.1165644171779103</v>
      </c>
      <c r="AK98">
        <v>-3.0798240100565719</v>
      </c>
      <c r="AL98">
        <v>-10.201429499675124</v>
      </c>
      <c r="AM98">
        <v>-4.1666666666666625</v>
      </c>
      <c r="AN98">
        <v>-5.361757105943159</v>
      </c>
      <c r="AO98">
        <v>14.753427343056028</v>
      </c>
      <c r="AP98">
        <v>-6.1783439490445788</v>
      </c>
      <c r="AQ98">
        <v>0.96649484536082475</v>
      </c>
      <c r="AR98">
        <v>-4.8691418137553253</v>
      </c>
      <c r="AS98">
        <v>-4.2787286063569683</v>
      </c>
      <c r="AT98">
        <v>3.646112600536199</v>
      </c>
      <c r="AU98">
        <v>-5.0254452926208515</v>
      </c>
      <c r="AV98">
        <v>-0.12763241863432587</v>
      </c>
    </row>
    <row r="99" spans="1:89" x14ac:dyDescent="0.35">
      <c r="A99" t="s">
        <v>32</v>
      </c>
      <c r="B99">
        <v>2021</v>
      </c>
      <c r="C99" t="s">
        <v>40</v>
      </c>
      <c r="D99">
        <v>167.3</v>
      </c>
      <c r="E99" s="2">
        <v>162.1</v>
      </c>
      <c r="F99">
        <v>160.69999999999999</v>
      </c>
      <c r="G99">
        <v>150.4</v>
      </c>
      <c r="H99">
        <v>162.80000000000001</v>
      </c>
      <c r="I99">
        <v>162.30000000000001</v>
      </c>
      <c r="AD99">
        <v>-0.62578222778473092</v>
      </c>
      <c r="AE99">
        <v>-1.8276762402088846</v>
      </c>
      <c r="AF99">
        <v>1.0461538461538391</v>
      </c>
      <c r="AG99">
        <v>4.2225201072386138</v>
      </c>
      <c r="AH99">
        <v>-1.1216056670602159</v>
      </c>
      <c r="AI99">
        <v>-2.4253731343283618</v>
      </c>
      <c r="AJ99">
        <v>4.8216644649933835</v>
      </c>
      <c r="AK99">
        <v>1.9455252918287937</v>
      </c>
      <c r="AL99">
        <v>6.6570188133140498</v>
      </c>
      <c r="AM99">
        <v>2.6350461133069829</v>
      </c>
      <c r="AN99">
        <v>3.0034129692832803</v>
      </c>
      <c r="AO99">
        <v>0</v>
      </c>
      <c r="AP99">
        <v>2.8513238289205622</v>
      </c>
      <c r="AQ99">
        <v>-0.5743458838544846</v>
      </c>
      <c r="AR99">
        <v>3.1989763275751759</v>
      </c>
      <c r="AS99">
        <v>1.8518518518518556</v>
      </c>
      <c r="AT99">
        <v>-2.586652871184687</v>
      </c>
      <c r="AU99">
        <v>2.7461486939048858</v>
      </c>
      <c r="AV99">
        <v>6.3897763578271136E-2</v>
      </c>
    </row>
    <row r="100" spans="1:89" x14ac:dyDescent="0.35">
      <c r="A100" t="s">
        <v>33</v>
      </c>
      <c r="B100">
        <v>2021</v>
      </c>
      <c r="C100" t="s">
        <v>40</v>
      </c>
      <c r="D100">
        <v>164</v>
      </c>
      <c r="E100" s="2">
        <v>162.1</v>
      </c>
      <c r="F100">
        <v>162.6</v>
      </c>
      <c r="G100">
        <v>154</v>
      </c>
      <c r="H100">
        <v>168.4</v>
      </c>
      <c r="I100">
        <v>163.19999999999999</v>
      </c>
      <c r="AD100">
        <v>0.25188916876572875</v>
      </c>
      <c r="AE100">
        <v>-0.97517730496453403</v>
      </c>
      <c r="AF100">
        <v>-0.12180267965894558</v>
      </c>
      <c r="AG100">
        <v>3.279742765273308</v>
      </c>
      <c r="AH100">
        <v>-0.65671641791044433</v>
      </c>
      <c r="AI100">
        <v>-1.5296367112810743</v>
      </c>
      <c r="AJ100">
        <v>5.9861373660995598</v>
      </c>
      <c r="AK100">
        <v>1.526717557251912</v>
      </c>
      <c r="AL100">
        <v>4.7489823609226596</v>
      </c>
      <c r="AM100">
        <v>1.9897304236200219</v>
      </c>
      <c r="AN100">
        <v>2.5844930417495067</v>
      </c>
      <c r="AO100">
        <v>-12.856633291614525</v>
      </c>
      <c r="AP100">
        <v>4.1584158415841657</v>
      </c>
      <c r="AQ100">
        <v>-1.7329910141206784</v>
      </c>
      <c r="AR100">
        <v>2.0458772473651474</v>
      </c>
      <c r="AS100">
        <v>2.6959247648902891</v>
      </c>
      <c r="AT100">
        <v>-1.1683483802443</v>
      </c>
      <c r="AU100">
        <v>2.5423728813559356</v>
      </c>
      <c r="AV100">
        <v>6.3856960408680913E-2</v>
      </c>
    </row>
    <row r="101" spans="1:89" x14ac:dyDescent="0.35">
      <c r="A101" t="s">
        <v>30</v>
      </c>
      <c r="B101">
        <v>2021</v>
      </c>
      <c r="C101" t="s">
        <v>41</v>
      </c>
      <c r="D101">
        <v>162.1</v>
      </c>
      <c r="E101" s="2">
        <v>139.2551</v>
      </c>
      <c r="F101">
        <v>163.69999999999999</v>
      </c>
      <c r="G101">
        <v>157.80000000000001</v>
      </c>
      <c r="H101">
        <v>171.9</v>
      </c>
      <c r="I101">
        <v>164</v>
      </c>
      <c r="AD101">
        <v>1.1934673366834208</v>
      </c>
      <c r="AE101">
        <v>2.3276633840644529</v>
      </c>
      <c r="AF101">
        <v>-0.85365853658536939</v>
      </c>
      <c r="AG101">
        <v>-6.1643835616438398</v>
      </c>
      <c r="AH101">
        <v>2.3437500000000036</v>
      </c>
      <c r="AI101">
        <v>3.8187702265372208</v>
      </c>
      <c r="AJ101">
        <v>-7.015457788347196</v>
      </c>
      <c r="AK101">
        <v>-2.8195488721804511</v>
      </c>
      <c r="AL101">
        <v>-10.168393782383431</v>
      </c>
      <c r="AM101">
        <v>-3.9647577092511086</v>
      </c>
      <c r="AN101">
        <v>-4.9095607235142262</v>
      </c>
      <c r="AO101">
        <v>14.825237998464694</v>
      </c>
      <c r="AP101">
        <v>-5.8301647655259927</v>
      </c>
      <c r="AQ101">
        <v>1.1757021554539591</v>
      </c>
      <c r="AR101">
        <v>-4.6780072904009646</v>
      </c>
      <c r="AS101">
        <v>-3.7851037851037952</v>
      </c>
      <c r="AT101">
        <v>3.976356797420745</v>
      </c>
      <c r="AU101">
        <v>-4.6408137317228295</v>
      </c>
      <c r="AV101">
        <v>0.12763241863434402</v>
      </c>
    </row>
    <row r="102" spans="1:89" x14ac:dyDescent="0.35">
      <c r="A102" t="s">
        <v>32</v>
      </c>
      <c r="B102">
        <v>2021</v>
      </c>
      <c r="C102" t="s">
        <v>41</v>
      </c>
      <c r="D102">
        <v>167.3</v>
      </c>
      <c r="E102" s="2">
        <v>162.1</v>
      </c>
      <c r="F102">
        <v>160.80000000000001</v>
      </c>
      <c r="G102">
        <v>150.5</v>
      </c>
      <c r="H102">
        <v>162.80000000000001</v>
      </c>
      <c r="I102">
        <v>162.30000000000001</v>
      </c>
      <c r="AD102">
        <v>-0.80695220360023767</v>
      </c>
      <c r="AE102">
        <v>-1.487314085739285</v>
      </c>
      <c r="AF102">
        <v>0.55350553505535405</v>
      </c>
      <c r="AG102">
        <v>3.8487060384870682</v>
      </c>
      <c r="AH102">
        <v>-1.2331180270111701</v>
      </c>
      <c r="AI102">
        <v>-2.3067331670823048</v>
      </c>
      <c r="AJ102">
        <v>4.7953964194373402</v>
      </c>
      <c r="AK102">
        <v>1.7408123791102625</v>
      </c>
      <c r="AL102">
        <v>6.6330209084354861</v>
      </c>
      <c r="AM102">
        <v>2.4901703800786446</v>
      </c>
      <c r="AN102">
        <v>2.7173913043478262</v>
      </c>
      <c r="AO102">
        <v>0</v>
      </c>
      <c r="AP102">
        <v>2.6917900403768504</v>
      </c>
      <c r="AQ102">
        <v>-0.71013557133634231</v>
      </c>
      <c r="AR102">
        <v>3.0592734225621308</v>
      </c>
      <c r="AS102">
        <v>1.6497461928933976</v>
      </c>
      <c r="AT102">
        <v>-2.7906976744186078</v>
      </c>
      <c r="AU102">
        <v>2.5333333333333408</v>
      </c>
      <c r="AV102">
        <v>-6.3734862970040995E-2</v>
      </c>
    </row>
    <row r="103" spans="1:89" x14ac:dyDescent="0.35">
      <c r="A103" t="s">
        <v>33</v>
      </c>
      <c r="B103">
        <v>2021</v>
      </c>
      <c r="C103" t="s">
        <v>41</v>
      </c>
      <c r="D103">
        <v>164</v>
      </c>
      <c r="E103" s="2">
        <v>162.1</v>
      </c>
      <c r="F103">
        <v>162.6</v>
      </c>
      <c r="G103">
        <v>154</v>
      </c>
      <c r="H103">
        <v>168.4</v>
      </c>
      <c r="I103">
        <v>163.19999999999999</v>
      </c>
      <c r="AD103">
        <v>0.81351689612013944</v>
      </c>
      <c r="AE103">
        <v>-0.35523978685612034</v>
      </c>
      <c r="AF103">
        <v>0.55045871559633375</v>
      </c>
      <c r="AG103">
        <v>3.4504792332268406</v>
      </c>
      <c r="AH103">
        <v>-0.83234244946490921</v>
      </c>
      <c r="AI103">
        <v>-0.70197830248882853</v>
      </c>
      <c r="AJ103">
        <v>6.8944478340451392</v>
      </c>
      <c r="AK103">
        <v>1.8377693282636103</v>
      </c>
      <c r="AL103">
        <v>4.8681541582150025</v>
      </c>
      <c r="AM103">
        <v>2.2378516624040921</v>
      </c>
      <c r="AN103">
        <v>2.8439153439153517</v>
      </c>
      <c r="AO103">
        <v>-12.911131957473424</v>
      </c>
      <c r="AP103">
        <v>3.9318479685452163</v>
      </c>
      <c r="AQ103">
        <v>0.52015604681403316</v>
      </c>
      <c r="AR103">
        <v>2.226345083487955</v>
      </c>
      <c r="AS103">
        <v>2.434456928838955</v>
      </c>
      <c r="AT103">
        <v>-0.69112174375331359</v>
      </c>
      <c r="AU103">
        <v>2.7308192457737244</v>
      </c>
      <c r="AV103">
        <v>0.51020408163264219</v>
      </c>
    </row>
    <row r="104" spans="1:89" x14ac:dyDescent="0.35">
      <c r="A104" t="s">
        <v>30</v>
      </c>
      <c r="B104">
        <v>2021</v>
      </c>
      <c r="C104" t="s">
        <v>42</v>
      </c>
      <c r="D104">
        <v>165.5</v>
      </c>
      <c r="E104" s="2">
        <v>139.2551</v>
      </c>
      <c r="F104">
        <v>165.5</v>
      </c>
      <c r="G104">
        <v>159.5</v>
      </c>
      <c r="H104">
        <v>172.5</v>
      </c>
      <c r="I104">
        <v>166.3</v>
      </c>
      <c r="AD104">
        <v>1.0552451893234123</v>
      </c>
      <c r="AE104">
        <v>2.317290552584665</v>
      </c>
      <c r="AF104">
        <v>-0.97323600973235669</v>
      </c>
      <c r="AG104">
        <v>-6.4237183446571988</v>
      </c>
      <c r="AH104">
        <v>2.7577937649880058</v>
      </c>
      <c r="AI104">
        <v>4.1131105398457626</v>
      </c>
      <c r="AJ104">
        <v>-7.8767123287671144</v>
      </c>
      <c r="AK104">
        <v>-2.9869321717485895</v>
      </c>
      <c r="AL104">
        <v>-10.186976144422943</v>
      </c>
      <c r="AM104">
        <v>-4.0650406504065035</v>
      </c>
      <c r="AN104">
        <v>-5.0803858520900356</v>
      </c>
      <c r="AO104">
        <v>15.902397829594756</v>
      </c>
      <c r="AP104">
        <v>-5.9899117276166463</v>
      </c>
      <c r="AQ104">
        <v>1.29366106080207</v>
      </c>
      <c r="AR104">
        <v>-4.718693284936486</v>
      </c>
      <c r="AS104">
        <v>-3.9609993906154788</v>
      </c>
      <c r="AT104">
        <v>4.0685224839400398</v>
      </c>
      <c r="AU104">
        <v>-4.7468354430379751</v>
      </c>
      <c r="AV104">
        <v>0.25380710659898842</v>
      </c>
    </row>
    <row r="105" spans="1:89" x14ac:dyDescent="0.35">
      <c r="A105" t="s">
        <v>32</v>
      </c>
      <c r="B105">
        <v>2021</v>
      </c>
      <c r="C105" t="s">
        <v>42</v>
      </c>
      <c r="D105">
        <v>171.5</v>
      </c>
      <c r="E105" s="2">
        <v>163.6</v>
      </c>
      <c r="F105">
        <v>162.19999999999999</v>
      </c>
      <c r="G105">
        <v>152.19999999999999</v>
      </c>
      <c r="H105">
        <v>163.5</v>
      </c>
      <c r="I105">
        <v>164.6</v>
      </c>
      <c r="AD105">
        <v>-0.67567567567568965</v>
      </c>
      <c r="AE105">
        <v>-1.4808362369338004</v>
      </c>
      <c r="AF105">
        <v>0.6756756756756721</v>
      </c>
      <c r="AG105">
        <v>4.0264026402640232</v>
      </c>
      <c r="AH105">
        <v>-1.4585764294049008</v>
      </c>
      <c r="AI105">
        <v>-2.4691358024691357</v>
      </c>
      <c r="AJ105">
        <v>5.3903345724906995</v>
      </c>
      <c r="AK105">
        <v>1.8601667735728067</v>
      </c>
      <c r="AL105">
        <v>6.604450825556345</v>
      </c>
      <c r="AM105">
        <v>2.5423728813559356</v>
      </c>
      <c r="AN105">
        <v>2.8455284552845646</v>
      </c>
      <c r="AO105">
        <v>0</v>
      </c>
      <c r="AP105">
        <v>2.7498323272971121</v>
      </c>
      <c r="AQ105">
        <v>-0.76628352490420737</v>
      </c>
      <c r="AR105">
        <v>3.047619047619055</v>
      </c>
      <c r="AS105">
        <v>1.7131979695431583</v>
      </c>
      <c r="AT105">
        <v>-2.8806584362139889</v>
      </c>
      <c r="AU105">
        <v>2.5913621262458513</v>
      </c>
      <c r="AV105">
        <v>-0.12658227848100545</v>
      </c>
    </row>
    <row r="106" spans="1:89" x14ac:dyDescent="0.35">
      <c r="A106" t="s">
        <v>33</v>
      </c>
      <c r="B106">
        <v>2021</v>
      </c>
      <c r="C106" t="s">
        <v>42</v>
      </c>
      <c r="D106">
        <v>167.7</v>
      </c>
      <c r="E106" s="2">
        <v>163.6</v>
      </c>
      <c r="F106">
        <v>164.2</v>
      </c>
      <c r="G106">
        <v>155.69999999999999</v>
      </c>
      <c r="H106">
        <v>169.1</v>
      </c>
      <c r="I106">
        <v>165.5</v>
      </c>
      <c r="AD106">
        <v>2.1026592455163922</v>
      </c>
      <c r="AE106">
        <v>1.0610079575596842</v>
      </c>
      <c r="AF106">
        <v>3.5387431360585619</v>
      </c>
      <c r="AG106">
        <v>4.4416243654822338</v>
      </c>
      <c r="AH106">
        <v>0.53285968028419517</v>
      </c>
      <c r="AI106">
        <v>0.44303797468353712</v>
      </c>
      <c r="AJ106">
        <v>8.4068195179306358</v>
      </c>
      <c r="AK106">
        <v>4.093198992443325</v>
      </c>
      <c r="AL106">
        <v>8.1481481481481453</v>
      </c>
      <c r="AM106">
        <v>4.5772409408772967</v>
      </c>
      <c r="AN106">
        <v>4.6113306982872198</v>
      </c>
      <c r="AO106">
        <v>-13.720508054522929</v>
      </c>
      <c r="AP106">
        <v>4.4386422976501381</v>
      </c>
      <c r="AQ106">
        <v>2.5096525096525135</v>
      </c>
      <c r="AR106">
        <v>4.189772027110279</v>
      </c>
      <c r="AS106">
        <v>4.5539613225202631</v>
      </c>
      <c r="AT106">
        <v>0.42372881355931302</v>
      </c>
      <c r="AU106">
        <v>4.3393782383419612</v>
      </c>
      <c r="AV106">
        <v>2.0912547528517003</v>
      </c>
    </row>
    <row r="107" spans="1:89" ht="72.5" x14ac:dyDescent="0.35">
      <c r="A107" t="s">
        <v>30</v>
      </c>
      <c r="B107">
        <v>2021</v>
      </c>
      <c r="C107" t="s">
        <v>44</v>
      </c>
      <c r="D107">
        <v>167.5</v>
      </c>
      <c r="E107" s="2">
        <v>139.2551</v>
      </c>
      <c r="F107">
        <v>165.3</v>
      </c>
      <c r="G107">
        <v>158.9</v>
      </c>
      <c r="H107">
        <v>173.4</v>
      </c>
      <c r="I107">
        <v>167.6</v>
      </c>
      <c r="AD107">
        <v>0.4845548152634836</v>
      </c>
      <c r="AE107">
        <v>1.3998250218722734</v>
      </c>
      <c r="AF107">
        <v>-2.6517383618149681</v>
      </c>
      <c r="AG107">
        <v>-7.6549210206561327</v>
      </c>
      <c r="AH107">
        <v>0.76560659599527847</v>
      </c>
      <c r="AI107">
        <v>3.465658475110271</v>
      </c>
      <c r="AJ107">
        <v>-8.4598698481561794</v>
      </c>
      <c r="AK107">
        <v>-5.3236539624924442</v>
      </c>
      <c r="AL107">
        <v>-12.702366127023664</v>
      </c>
      <c r="AM107">
        <v>-6.3221884498480279</v>
      </c>
      <c r="AN107">
        <v>-5.4785894206549219</v>
      </c>
      <c r="AO107">
        <v>16.046019140412092</v>
      </c>
      <c r="AP107">
        <v>-4.6250000000000036</v>
      </c>
      <c r="AQ107">
        <v>-1.1299435028248659</v>
      </c>
      <c r="AR107">
        <v>-5.1448846836191535</v>
      </c>
      <c r="AS107">
        <v>-6.5632458233890221</v>
      </c>
      <c r="AT107">
        <v>4.5358649789029508</v>
      </c>
      <c r="AU107">
        <v>-5.4624456859093629</v>
      </c>
      <c r="AV107">
        <v>-0.99317194289260979</v>
      </c>
      <c r="BL107" s="2" t="s">
        <v>83</v>
      </c>
      <c r="BM107" s="24" t="s">
        <v>84</v>
      </c>
      <c r="BN107" s="24" t="s">
        <v>85</v>
      </c>
      <c r="BO107" s="2" t="s">
        <v>86</v>
      </c>
      <c r="BP107" s="24" t="s">
        <v>87</v>
      </c>
      <c r="BQ107" s="2" t="s">
        <v>88</v>
      </c>
      <c r="BR107" s="2" t="s">
        <v>89</v>
      </c>
      <c r="BS107" s="24" t="s">
        <v>90</v>
      </c>
      <c r="BT107" s="24" t="s">
        <v>91</v>
      </c>
      <c r="BU107" s="24" t="s">
        <v>92</v>
      </c>
      <c r="BV107" s="24" t="s">
        <v>93</v>
      </c>
      <c r="BW107" s="24" t="s">
        <v>94</v>
      </c>
      <c r="BX107" s="24" t="s">
        <v>95</v>
      </c>
      <c r="BY107" s="24" t="s">
        <v>96</v>
      </c>
      <c r="BZ107" s="24" t="s">
        <v>97</v>
      </c>
      <c r="CA107" s="24" t="s">
        <v>98</v>
      </c>
      <c r="CB107" s="24" t="s">
        <v>99</v>
      </c>
      <c r="CC107" s="24" t="s">
        <v>100</v>
      </c>
      <c r="CD107" s="24" t="s">
        <v>101</v>
      </c>
      <c r="CE107" s="24" t="s">
        <v>102</v>
      </c>
      <c r="CF107" s="24" t="s">
        <v>103</v>
      </c>
      <c r="CG107" s="24" t="s">
        <v>104</v>
      </c>
      <c r="CH107" s="24" t="s">
        <v>105</v>
      </c>
      <c r="CI107" s="24" t="s">
        <v>106</v>
      </c>
      <c r="CJ107" s="24" t="s">
        <v>107</v>
      </c>
      <c r="CK107" s="24" t="s">
        <v>108</v>
      </c>
    </row>
    <row r="108" spans="1:89" x14ac:dyDescent="0.35">
      <c r="A108" t="s">
        <v>32</v>
      </c>
      <c r="B108">
        <v>2021</v>
      </c>
      <c r="C108" t="s">
        <v>44</v>
      </c>
      <c r="D108">
        <v>173.5</v>
      </c>
      <c r="E108" s="2">
        <v>164.2</v>
      </c>
      <c r="F108">
        <v>161.6</v>
      </c>
      <c r="G108">
        <v>151.19999999999999</v>
      </c>
      <c r="H108">
        <v>164.2</v>
      </c>
      <c r="I108">
        <v>165.6</v>
      </c>
      <c r="AD108">
        <v>-0.30138637733574442</v>
      </c>
      <c r="AE108">
        <v>-0.94909404659189678</v>
      </c>
      <c r="AF108">
        <v>1.8159806295399519</v>
      </c>
      <c r="AG108">
        <v>4.8026315789473761</v>
      </c>
      <c r="AH108">
        <v>-0.40911747516071806</v>
      </c>
      <c r="AI108">
        <v>-2.1315468940316689</v>
      </c>
      <c r="AJ108">
        <v>5.8649289099525932</v>
      </c>
      <c r="AK108">
        <v>3.3865814696485694</v>
      </c>
      <c r="AL108">
        <v>8.4878744650499343</v>
      </c>
      <c r="AM108">
        <v>4.0882543802725584</v>
      </c>
      <c r="AN108">
        <v>3.064623584277145</v>
      </c>
      <c r="AO108">
        <v>0</v>
      </c>
      <c r="AP108">
        <v>2.0969855832241264</v>
      </c>
      <c r="AQ108">
        <v>0.69841269841269482</v>
      </c>
      <c r="AR108">
        <v>3.3665835411471354</v>
      </c>
      <c r="AS108">
        <v>2.9374201787994858</v>
      </c>
      <c r="AT108">
        <v>-3.1786074672048352</v>
      </c>
      <c r="AU108">
        <v>2.9546946815495732</v>
      </c>
      <c r="AV108">
        <v>0.56426332288401615</v>
      </c>
      <c r="BL108" s="2"/>
      <c r="BM108" s="2"/>
      <c r="BN108" s="2"/>
      <c r="BO108" s="2"/>
      <c r="BP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</row>
    <row r="109" spans="1:89" x14ac:dyDescent="0.35">
      <c r="A109" t="s">
        <v>33</v>
      </c>
      <c r="B109">
        <v>2021</v>
      </c>
      <c r="C109" t="s">
        <v>44</v>
      </c>
      <c r="D109">
        <v>169.7</v>
      </c>
      <c r="E109" s="2">
        <v>164.2</v>
      </c>
      <c r="F109">
        <v>163.9</v>
      </c>
      <c r="G109">
        <v>154.80000000000001</v>
      </c>
      <c r="H109">
        <v>169.9</v>
      </c>
      <c r="I109">
        <v>166.7</v>
      </c>
      <c r="AD109">
        <v>6.0459492140262583E-2</v>
      </c>
      <c r="AE109">
        <v>-0.17421602787456694</v>
      </c>
      <c r="AF109">
        <v>1.0701545778834789</v>
      </c>
      <c r="AG109">
        <v>3.8920276208411728</v>
      </c>
      <c r="AH109">
        <v>0.76291079812205564</v>
      </c>
      <c r="AI109">
        <v>-0.12445550715618459</v>
      </c>
      <c r="AJ109">
        <v>6.5472859541130486</v>
      </c>
      <c r="AK109">
        <v>2.1631644004944373</v>
      </c>
      <c r="AL109">
        <v>5.1282051282051357</v>
      </c>
      <c r="AM109">
        <v>2.6184538653366509</v>
      </c>
      <c r="AN109">
        <v>2.9088558500323205</v>
      </c>
      <c r="AO109">
        <v>-13.827289603960393</v>
      </c>
      <c r="AP109">
        <v>2.9525032092426149</v>
      </c>
      <c r="AQ109">
        <v>0.50441361916772476</v>
      </c>
      <c r="AR109">
        <v>2.3522316043425673</v>
      </c>
      <c r="AS109">
        <v>3.4739454094292945</v>
      </c>
      <c r="AT109">
        <v>-1.4590932777488332</v>
      </c>
      <c r="AU109">
        <v>2.9974489795918293</v>
      </c>
      <c r="AV109">
        <v>1.0598503740648306</v>
      </c>
      <c r="BL109" s="2">
        <v>-6.2332439678284075</v>
      </c>
      <c r="BM109" s="2">
        <v>3.2078103207810278</v>
      </c>
      <c r="BN109" s="2">
        <v>3.8933333333333398</v>
      </c>
      <c r="BO109" s="2">
        <v>2.8835063437139561</v>
      </c>
      <c r="BP109" s="2"/>
      <c r="BQ109" s="2">
        <v>3.8095238095238058</v>
      </c>
      <c r="BR109" s="2">
        <v>10.117145899893504</v>
      </c>
      <c r="BS109" s="2">
        <v>1.6300940438871439</v>
      </c>
      <c r="BT109" s="2">
        <v>2.1968365553602811</v>
      </c>
      <c r="BU109" s="2">
        <v>-0.91185410334346495</v>
      </c>
      <c r="BV109" s="2">
        <v>-6.5342729019858989</v>
      </c>
      <c r="BW109" s="2">
        <v>1.7650639074862917</v>
      </c>
      <c r="BX109" s="2">
        <v>2.380952380952388</v>
      </c>
      <c r="BY109" s="2">
        <v>-6.9121447028423875</v>
      </c>
      <c r="BZ109" s="2">
        <v>-3.1746031746031744</v>
      </c>
      <c r="CA109" s="2">
        <v>-9.9081364829396286</v>
      </c>
      <c r="CB109" s="2">
        <v>-4.2091836734694024</v>
      </c>
      <c r="CC109" s="2">
        <v>-5.328135152696567</v>
      </c>
      <c r="CD109" s="2">
        <v>13.245403579473921</v>
      </c>
      <c r="CE109" s="2">
        <v>-6.2540296582849706</v>
      </c>
      <c r="CF109" s="2">
        <v>0.96030729833546746</v>
      </c>
      <c r="CG109" s="2">
        <v>-5.1692307692307722</v>
      </c>
      <c r="CH109" s="2">
        <v>-4.5259938837920526</v>
      </c>
      <c r="CI109" s="2">
        <v>3.9003250270856</v>
      </c>
      <c r="CJ109" s="2">
        <v>-5.3239255933290641</v>
      </c>
      <c r="CK109" s="2">
        <v>-1.5772870662460567</v>
      </c>
    </row>
    <row r="110" spans="1:89" x14ac:dyDescent="0.35">
      <c r="A110" t="s">
        <v>30</v>
      </c>
      <c r="B110">
        <v>2021</v>
      </c>
      <c r="C110" t="s">
        <v>45</v>
      </c>
      <c r="D110">
        <v>165.8</v>
      </c>
      <c r="E110" s="2">
        <v>139.2551</v>
      </c>
      <c r="F110">
        <v>165.6</v>
      </c>
      <c r="G110">
        <v>160.1</v>
      </c>
      <c r="H110">
        <v>174</v>
      </c>
      <c r="I110">
        <v>167</v>
      </c>
      <c r="AD110">
        <v>0.84592145015106091</v>
      </c>
      <c r="AE110">
        <v>1.3089005235602094</v>
      </c>
      <c r="AF110">
        <v>-2.6470588235294117</v>
      </c>
      <c r="AG110">
        <v>-7.9758308157099629</v>
      </c>
      <c r="AH110">
        <v>0.93185789167153343</v>
      </c>
      <c r="AI110">
        <v>3.5514018691588713</v>
      </c>
      <c r="AJ110">
        <v>-9.5588235294117734</v>
      </c>
      <c r="AK110">
        <v>-4.8396854204476707</v>
      </c>
      <c r="AL110">
        <v>-12.132582864290184</v>
      </c>
      <c r="AM110">
        <v>-5.9538274605103174</v>
      </c>
      <c r="AN110">
        <v>-5.9045226130653123</v>
      </c>
      <c r="AO110">
        <v>15.256101930916715</v>
      </c>
      <c r="AP110">
        <v>-6.047381546134674</v>
      </c>
      <c r="AQ110">
        <v>-0.87829360100376774</v>
      </c>
      <c r="AR110">
        <v>-5.2445492044784787</v>
      </c>
      <c r="AS110">
        <v>-5.2158273381295066</v>
      </c>
      <c r="AT110">
        <v>3.4373347435219461</v>
      </c>
      <c r="AU110">
        <v>-5.0154798761609873</v>
      </c>
      <c r="AV110">
        <v>-1.0487353485502706</v>
      </c>
      <c r="BL110" s="2">
        <v>3.5739814152966405</v>
      </c>
      <c r="BM110" s="2">
        <v>-2.0945945945945907</v>
      </c>
      <c r="BN110" s="2">
        <v>-2.4127310061601728</v>
      </c>
      <c r="BO110" s="2">
        <v>-1.7376681614349743</v>
      </c>
      <c r="BP110" s="2">
        <v>0.25974025974026343</v>
      </c>
      <c r="BQ110" s="2">
        <v>-1.9659239842726082</v>
      </c>
      <c r="BR110" s="2">
        <v>-6.0928433268858901</v>
      </c>
      <c r="BS110" s="2">
        <v>-1.0487353485502706</v>
      </c>
      <c r="BT110" s="2">
        <v>-1.4617368873602776</v>
      </c>
      <c r="BU110" s="2">
        <v>0.61349693251533743</v>
      </c>
      <c r="BV110" s="2">
        <v>4.0438656614119299</v>
      </c>
      <c r="BW110" s="2">
        <v>-0.95693779904305887</v>
      </c>
      <c r="BX110" s="2">
        <v>-1.4687882496940059</v>
      </c>
      <c r="BY110" s="2">
        <v>4.7189451769604522</v>
      </c>
      <c r="BZ110" s="2">
        <v>1.9672131147540985</v>
      </c>
      <c r="CA110" s="2">
        <v>6.4093226511289014</v>
      </c>
      <c r="CB110" s="2">
        <v>2.6631158455392812</v>
      </c>
      <c r="CC110" s="2">
        <v>2.9512697323267068</v>
      </c>
      <c r="CD110" s="2">
        <v>0</v>
      </c>
      <c r="CE110" s="2">
        <v>2.8885832187070073</v>
      </c>
      <c r="CF110" s="2">
        <v>-0.57070386810398055</v>
      </c>
      <c r="CG110" s="2">
        <v>3.3744321868916396</v>
      </c>
      <c r="CH110" s="2">
        <v>1.9859064702113995</v>
      </c>
      <c r="CI110" s="2">
        <v>-2.7632950990615281</v>
      </c>
      <c r="CJ110" s="2">
        <v>2.9132791327913359</v>
      </c>
      <c r="CK110" s="2">
        <v>0.83333333333334059</v>
      </c>
    </row>
    <row r="111" spans="1:89" x14ac:dyDescent="0.35">
      <c r="A111" t="s">
        <v>32</v>
      </c>
      <c r="B111">
        <v>2021</v>
      </c>
      <c r="C111" t="s">
        <v>45</v>
      </c>
      <c r="D111">
        <v>172.2</v>
      </c>
      <c r="E111" s="2">
        <v>163.4</v>
      </c>
      <c r="F111">
        <v>161.69999999999999</v>
      </c>
      <c r="G111">
        <v>151.80000000000001</v>
      </c>
      <c r="H111">
        <v>165.1</v>
      </c>
      <c r="I111">
        <v>165.2</v>
      </c>
      <c r="AD111">
        <v>-0.53924505692031499</v>
      </c>
      <c r="AE111">
        <v>-0.8613264427217916</v>
      </c>
      <c r="AF111">
        <v>1.8126888217522661</v>
      </c>
      <c r="AG111">
        <v>5.055810899540373</v>
      </c>
      <c r="AH111">
        <v>-0.51933064050779321</v>
      </c>
      <c r="AI111">
        <v>-2.1660649819494551</v>
      </c>
      <c r="AJ111">
        <v>6.6782810685249716</v>
      </c>
      <c r="AK111">
        <v>3.1150667514303731</v>
      </c>
      <c r="AL111">
        <v>8.0427046263345279</v>
      </c>
      <c r="AM111">
        <v>3.8113695090439124</v>
      </c>
      <c r="AN111">
        <v>3.3377837116154869</v>
      </c>
      <c r="AO111">
        <v>0</v>
      </c>
      <c r="AP111">
        <v>2.7869940278699517</v>
      </c>
      <c r="AQ111">
        <v>0.50632911392405788</v>
      </c>
      <c r="AR111">
        <v>3.4203980099502482</v>
      </c>
      <c r="AS111">
        <v>2.2770398481973397</v>
      </c>
      <c r="AT111">
        <v>-2.4539877300613409</v>
      </c>
      <c r="AU111">
        <v>2.7379400260756115</v>
      </c>
      <c r="AV111">
        <v>0.56109725685785894</v>
      </c>
      <c r="BL111" s="2">
        <v>5.1069703243616322</v>
      </c>
      <c r="BM111" s="2">
        <v>-1.4492753623188366</v>
      </c>
      <c r="BN111" s="2">
        <v>-3.2088374539715905</v>
      </c>
      <c r="BO111" s="2">
        <v>-4.1642897889332637</v>
      </c>
      <c r="BP111" s="2">
        <v>-0.19430051813472238</v>
      </c>
      <c r="BQ111" s="2">
        <v>-1.2032085561497212</v>
      </c>
      <c r="BR111" s="2">
        <v>-22.914521112255411</v>
      </c>
      <c r="BS111" s="2">
        <v>-1.3092269326683255</v>
      </c>
      <c r="BT111" s="2">
        <v>-2.4432809773123885</v>
      </c>
      <c r="BU111" s="2">
        <v>0.6097560975609756</v>
      </c>
      <c r="BV111" s="2">
        <v>5.4018445322793065</v>
      </c>
      <c r="BW111" s="2">
        <v>0.12077294685991367</v>
      </c>
      <c r="BX111" s="2">
        <v>-3.9130434782608767</v>
      </c>
      <c r="BY111" s="2">
        <v>8.0185553346587106</v>
      </c>
      <c r="BZ111" s="2">
        <v>2.3151125401929225</v>
      </c>
      <c r="CA111" s="2">
        <v>5.3388090349076052</v>
      </c>
      <c r="CB111" s="2">
        <v>2.7237354085603225</v>
      </c>
      <c r="CC111" s="2">
        <v>3.2000000000000077</v>
      </c>
      <c r="CD111" s="2">
        <v>-11.696195307545967</v>
      </c>
      <c r="CE111" s="2">
        <v>4.9465240641711272</v>
      </c>
      <c r="CF111" s="2">
        <v>-1.0204081632653206</v>
      </c>
      <c r="CG111" s="2">
        <v>3.1387319522912738</v>
      </c>
      <c r="CH111" s="2">
        <v>2.7638190954773907</v>
      </c>
      <c r="CI111" s="2">
        <v>0</v>
      </c>
      <c r="CJ111" s="2">
        <v>3.4891375905200674</v>
      </c>
      <c r="CK111" s="2">
        <v>-0.38143674507312314</v>
      </c>
    </row>
    <row r="112" spans="1:89" x14ac:dyDescent="0.35">
      <c r="A112" t="s">
        <v>33</v>
      </c>
      <c r="B112">
        <v>2021</v>
      </c>
      <c r="C112" t="s">
        <v>45</v>
      </c>
      <c r="D112">
        <v>168.2</v>
      </c>
      <c r="E112" s="2">
        <v>163.4</v>
      </c>
      <c r="F112">
        <v>164.1</v>
      </c>
      <c r="G112">
        <v>155.69999999999999</v>
      </c>
      <c r="H112">
        <v>170.6</v>
      </c>
      <c r="I112">
        <v>166.2</v>
      </c>
      <c r="AD112">
        <v>-1.445783132530124</v>
      </c>
      <c r="AE112">
        <v>-1.0425716768027704</v>
      </c>
      <c r="AF112">
        <v>0.71216617210681821</v>
      </c>
      <c r="AG112">
        <v>3.8749999999999929</v>
      </c>
      <c r="AH112">
        <v>-0.81206496519721905</v>
      </c>
      <c r="AI112">
        <v>-0.55350553505535405</v>
      </c>
      <c r="AJ112">
        <v>2.7218290691344587</v>
      </c>
      <c r="AK112">
        <v>2.3427866831072821</v>
      </c>
      <c r="AL112">
        <v>6.1264822134387238</v>
      </c>
      <c r="AM112">
        <v>2.8624766645924229</v>
      </c>
      <c r="AN112">
        <v>3.5529715762273901</v>
      </c>
      <c r="AO112">
        <v>-13.236697819314641</v>
      </c>
      <c r="AP112">
        <v>3.7443511943189041</v>
      </c>
      <c r="AQ112">
        <v>1.0075566750629685</v>
      </c>
      <c r="AR112">
        <v>2.4654239326518304</v>
      </c>
      <c r="AS112">
        <v>3.4013605442176873</v>
      </c>
      <c r="AT112">
        <v>-0.57651991614256948</v>
      </c>
      <c r="AU112">
        <v>3.2994923857868135</v>
      </c>
      <c r="AV112">
        <v>1.1779293242405315</v>
      </c>
      <c r="BL112" s="2">
        <v>-4.9244911359159556</v>
      </c>
      <c r="BM112" s="2">
        <v>3.3613445378151141</v>
      </c>
      <c r="BN112" s="2">
        <v>3.9130434782608638</v>
      </c>
      <c r="BO112" s="2">
        <v>1.1309523809523845</v>
      </c>
      <c r="BP112" s="2">
        <v>0.19467878001298597</v>
      </c>
      <c r="BQ112" s="2">
        <v>4.1948579161028334</v>
      </c>
      <c r="BR112" s="2">
        <v>20.374081496325989</v>
      </c>
      <c r="BS112" s="2">
        <v>0.94756790903348065</v>
      </c>
      <c r="BT112" s="2">
        <v>2.7728085867620829</v>
      </c>
      <c r="BU112" s="2">
        <v>-1.5151515151515151</v>
      </c>
      <c r="BV112" s="2">
        <v>-6.7500000000000071</v>
      </c>
      <c r="BW112" s="2">
        <v>2.1712907117008404</v>
      </c>
      <c r="BX112" s="2">
        <v>3.9431157078216055</v>
      </c>
      <c r="BY112" s="2">
        <v>-7.1165644171779103</v>
      </c>
      <c r="BZ112" s="2">
        <v>-3.0798240100565719</v>
      </c>
      <c r="CA112" s="2">
        <v>-10.201429499675124</v>
      </c>
      <c r="CB112" s="2">
        <v>-4.1666666666666625</v>
      </c>
      <c r="CC112" s="2">
        <v>-5.361757105943159</v>
      </c>
      <c r="CD112" s="2">
        <v>14.753427343056028</v>
      </c>
      <c r="CE112" s="2">
        <v>-6.1783439490445788</v>
      </c>
      <c r="CF112" s="2">
        <v>0.96649484536082475</v>
      </c>
      <c r="CG112" s="2">
        <v>-4.8691418137553253</v>
      </c>
      <c r="CH112" s="2">
        <v>-4.2787286063569683</v>
      </c>
      <c r="CI112" s="2">
        <v>3.646112600536199</v>
      </c>
      <c r="CJ112" s="2">
        <v>-5.0254452926208515</v>
      </c>
      <c r="CK112" s="2">
        <v>-0.12763241863432587</v>
      </c>
    </row>
    <row r="113" spans="1:89" x14ac:dyDescent="0.35">
      <c r="A113" t="s">
        <v>30</v>
      </c>
      <c r="B113">
        <v>2022</v>
      </c>
      <c r="C113" t="s">
        <v>31</v>
      </c>
      <c r="D113">
        <v>164.1</v>
      </c>
      <c r="E113" s="2">
        <v>139.2551</v>
      </c>
      <c r="F113">
        <v>165.8</v>
      </c>
      <c r="G113">
        <v>160.80000000000001</v>
      </c>
      <c r="H113">
        <v>174.7</v>
      </c>
      <c r="I113">
        <v>166.4</v>
      </c>
      <c r="AD113">
        <v>0.67237163814180578</v>
      </c>
      <c r="AE113">
        <v>1.5803336259877059</v>
      </c>
      <c r="AF113">
        <v>-2.4749558043606301</v>
      </c>
      <c r="AG113">
        <v>-7.701564380264732</v>
      </c>
      <c r="AH113">
        <v>1.4619883040935671</v>
      </c>
      <c r="AI113">
        <v>3.8342609771181304</v>
      </c>
      <c r="AJ113">
        <v>-9.5919448860625316</v>
      </c>
      <c r="AK113">
        <v>-4.8795180722891534</v>
      </c>
      <c r="AL113">
        <v>-11.918063314711352</v>
      </c>
      <c r="AM113">
        <v>-5.9286146400484032</v>
      </c>
      <c r="AN113">
        <v>-5.9887710542732515</v>
      </c>
      <c r="AO113">
        <v>15.974208485003421</v>
      </c>
      <c r="AP113">
        <v>-5.9116365899191043</v>
      </c>
      <c r="AQ113">
        <v>-0.49875311720698967</v>
      </c>
      <c r="AR113">
        <v>-5.2230046948356836</v>
      </c>
      <c r="AS113">
        <v>-4.1267942583731925</v>
      </c>
      <c r="AT113">
        <v>3.057459146020038</v>
      </c>
      <c r="AU113">
        <v>-4.7911547911547974</v>
      </c>
      <c r="AV113">
        <v>-0.85784313725488814</v>
      </c>
      <c r="BL113" s="2">
        <v>2.7279005524861799</v>
      </c>
      <c r="BM113" s="2">
        <v>-2.2357723577235658</v>
      </c>
      <c r="BN113" s="2">
        <v>-2.4581589958158938</v>
      </c>
      <c r="BO113" s="2">
        <v>-0.70629782224839144</v>
      </c>
      <c r="BP113" s="2">
        <v>0.45336787564766101</v>
      </c>
      <c r="BQ113" s="2">
        <v>-2.1428571428571503</v>
      </c>
      <c r="BR113" s="2">
        <v>-11.209766925638174</v>
      </c>
      <c r="BS113" s="2">
        <v>-0.62578222778473092</v>
      </c>
      <c r="BT113" s="2">
        <v>-1.8276762402088846</v>
      </c>
      <c r="BU113" s="2">
        <v>1.0461538461538391</v>
      </c>
      <c r="BV113" s="2">
        <v>4.2225201072386138</v>
      </c>
      <c r="BW113" s="2">
        <v>-1.1216056670602159</v>
      </c>
      <c r="BX113" s="2">
        <v>-2.4253731343283618</v>
      </c>
      <c r="BY113" s="2">
        <v>4.8216644649933835</v>
      </c>
      <c r="BZ113" s="2">
        <v>1.9455252918287937</v>
      </c>
      <c r="CA113" s="2">
        <v>6.6570188133140498</v>
      </c>
      <c r="CB113" s="2">
        <v>2.6350461133069829</v>
      </c>
      <c r="CC113" s="2">
        <v>3.0034129692832803</v>
      </c>
      <c r="CD113" s="2">
        <v>0</v>
      </c>
      <c r="CE113" s="2">
        <v>2.8513238289205622</v>
      </c>
      <c r="CF113" s="2">
        <v>-0.5743458838544846</v>
      </c>
      <c r="CG113" s="2">
        <v>3.1989763275751759</v>
      </c>
      <c r="CH113" s="2">
        <v>1.8518518518518556</v>
      </c>
      <c r="CI113" s="2">
        <v>-2.586652871184687</v>
      </c>
      <c r="CJ113" s="2">
        <v>2.7461486939048858</v>
      </c>
      <c r="CK113" s="2">
        <v>6.3897763578271136E-2</v>
      </c>
    </row>
    <row r="114" spans="1:89" x14ac:dyDescent="0.35">
      <c r="A114" t="s">
        <v>32</v>
      </c>
      <c r="B114">
        <v>2022</v>
      </c>
      <c r="C114" t="s">
        <v>31</v>
      </c>
      <c r="D114">
        <v>170.3</v>
      </c>
      <c r="E114" s="2">
        <v>164.5</v>
      </c>
      <c r="F114">
        <v>161.6</v>
      </c>
      <c r="G114">
        <v>152.69999999999999</v>
      </c>
      <c r="H114">
        <v>166.1</v>
      </c>
      <c r="I114">
        <v>165</v>
      </c>
      <c r="AD114">
        <v>-0.42501517911353287</v>
      </c>
      <c r="AE114">
        <v>-1.0371650821089047</v>
      </c>
      <c r="AF114">
        <v>1.6918429003021218</v>
      </c>
      <c r="AG114">
        <v>4.8891786179921768</v>
      </c>
      <c r="AH114">
        <v>-0.74927953890490573</v>
      </c>
      <c r="AI114">
        <v>-2.3228111971411591</v>
      </c>
      <c r="AJ114">
        <v>6.7409144196951933</v>
      </c>
      <c r="AK114">
        <v>3.1032298923369255</v>
      </c>
      <c r="AL114">
        <v>7.8928823114869537</v>
      </c>
      <c r="AM114">
        <v>3.7942122186495215</v>
      </c>
      <c r="AN114">
        <v>3.3842070338420855</v>
      </c>
      <c r="AO114">
        <v>0</v>
      </c>
      <c r="AP114">
        <v>2.7116402116402267</v>
      </c>
      <c r="AQ114">
        <v>0.31328320802005016</v>
      </c>
      <c r="AR114">
        <v>3.4055727554179565</v>
      </c>
      <c r="AS114">
        <v>1.8091079226450262</v>
      </c>
      <c r="AT114">
        <v>-2.1994884910485992</v>
      </c>
      <c r="AU114">
        <v>2.5806451612903225</v>
      </c>
      <c r="AV114">
        <v>0.43263288009888046</v>
      </c>
      <c r="BL114" s="2">
        <v>3.2941176470588274</v>
      </c>
      <c r="BM114" s="2">
        <v>-1.247401247401255</v>
      </c>
      <c r="BN114" s="2">
        <v>1.5549597855227912</v>
      </c>
      <c r="BO114" s="2">
        <v>-3.2602252519264971</v>
      </c>
      <c r="BP114" s="2">
        <v>-0.25789813023855945</v>
      </c>
      <c r="BQ114" s="2">
        <v>-0.13271400132713249</v>
      </c>
      <c r="BR114" s="2">
        <v>-11.875</v>
      </c>
      <c r="BS114" s="2">
        <v>0.25188916876572875</v>
      </c>
      <c r="BT114" s="2">
        <v>-0.97517730496453403</v>
      </c>
      <c r="BU114" s="2">
        <v>-0.12180267965894558</v>
      </c>
      <c r="BV114" s="2">
        <v>3.279742765273308</v>
      </c>
      <c r="BW114" s="2">
        <v>-0.65671641791044433</v>
      </c>
      <c r="BX114" s="2">
        <v>-1.5296367112810743</v>
      </c>
      <c r="BY114" s="2">
        <v>5.9861373660995598</v>
      </c>
      <c r="BZ114" s="2">
        <v>1.526717557251912</v>
      </c>
      <c r="CA114" s="2">
        <v>4.7489823609226596</v>
      </c>
      <c r="CB114" s="2">
        <v>1.9897304236200219</v>
      </c>
      <c r="CC114" s="2">
        <v>2.5844930417495067</v>
      </c>
      <c r="CD114" s="2">
        <v>-12.856633291614525</v>
      </c>
      <c r="CE114" s="2">
        <v>4.1584158415841657</v>
      </c>
      <c r="CF114" s="2">
        <v>-1.7329910141206784</v>
      </c>
      <c r="CG114" s="2">
        <v>2.0458772473651474</v>
      </c>
      <c r="CH114" s="2">
        <v>2.6959247648902891</v>
      </c>
      <c r="CI114" s="2">
        <v>-1.1683483802443</v>
      </c>
      <c r="CJ114" s="2">
        <v>2.5423728813559356</v>
      </c>
      <c r="CK114" s="2">
        <v>6.3856960408680913E-2</v>
      </c>
    </row>
    <row r="115" spans="1:89" x14ac:dyDescent="0.35">
      <c r="A115" t="s">
        <v>33</v>
      </c>
      <c r="B115">
        <v>2022</v>
      </c>
      <c r="C115" t="s">
        <v>31</v>
      </c>
      <c r="D115">
        <v>166.4</v>
      </c>
      <c r="E115" s="2">
        <v>164.5</v>
      </c>
      <c r="F115">
        <v>164.2</v>
      </c>
      <c r="G115">
        <v>156.5</v>
      </c>
      <c r="H115">
        <v>171.4</v>
      </c>
      <c r="I115">
        <v>165.7</v>
      </c>
      <c r="AD115">
        <v>-0.73170731707316383</v>
      </c>
      <c r="AE115">
        <v>0.61135371179039555</v>
      </c>
      <c r="AF115">
        <v>0.89126559714794995</v>
      </c>
      <c r="AG115">
        <v>4.1640770665009246</v>
      </c>
      <c r="AH115">
        <v>-0.17421602787455456</v>
      </c>
      <c r="AI115">
        <v>-1.3414634146341393</v>
      </c>
      <c r="AJ115">
        <v>4.8325096101043448</v>
      </c>
      <c r="AK115">
        <v>2.5798525798525729</v>
      </c>
      <c r="AL115">
        <v>6.2050947093403011</v>
      </c>
      <c r="AM115">
        <v>3.0359355638166079</v>
      </c>
      <c r="AN115">
        <v>3.2734274711168125</v>
      </c>
      <c r="AO115">
        <v>-13.773931888544894</v>
      </c>
      <c r="AP115">
        <v>3.7347070186735243</v>
      </c>
      <c r="AQ115">
        <v>0.12492192379763714</v>
      </c>
      <c r="AR115">
        <v>2.4550898203592779</v>
      </c>
      <c r="AS115">
        <v>2.6348039215686345</v>
      </c>
      <c r="AT115">
        <v>-0.52301255230125532</v>
      </c>
      <c r="AU115">
        <v>2.7044025157232774</v>
      </c>
      <c r="AV115">
        <v>0.67692307692307341</v>
      </c>
      <c r="BL115" s="2">
        <v>-3.5144809632281193</v>
      </c>
      <c r="BM115" s="2">
        <v>3.5087719298245612</v>
      </c>
      <c r="BN115" s="2">
        <v>4.2766631467792999</v>
      </c>
      <c r="BO115" s="2">
        <v>0.91911764705882359</v>
      </c>
      <c r="BP115" s="2">
        <v>-0.12928248222365135</v>
      </c>
      <c r="BQ115" s="2">
        <v>4.5182724252491768</v>
      </c>
      <c r="BR115" s="2">
        <v>17.801418439716308</v>
      </c>
      <c r="BS115" s="2">
        <v>1.1934673366834208</v>
      </c>
      <c r="BT115" s="2">
        <v>2.3276633840644529</v>
      </c>
      <c r="BU115" s="2">
        <v>-0.85365853658536939</v>
      </c>
      <c r="BV115" s="2">
        <v>-6.1643835616438398</v>
      </c>
      <c r="BW115" s="2">
        <v>2.3437500000000036</v>
      </c>
      <c r="BX115" s="2">
        <v>3.8187702265372208</v>
      </c>
      <c r="BY115" s="2">
        <v>-7.015457788347196</v>
      </c>
      <c r="BZ115" s="2">
        <v>-2.8195488721804511</v>
      </c>
      <c r="CA115" s="2">
        <v>-10.168393782383431</v>
      </c>
      <c r="CB115" s="2">
        <v>-3.9647577092511086</v>
      </c>
      <c r="CC115" s="2">
        <v>-4.9095607235142262</v>
      </c>
      <c r="CD115" s="2">
        <v>14.825237998464694</v>
      </c>
      <c r="CE115" s="2">
        <v>-5.8301647655259927</v>
      </c>
      <c r="CF115" s="2">
        <v>1.1757021554539591</v>
      </c>
      <c r="CG115" s="2">
        <v>-4.6780072904009646</v>
      </c>
      <c r="CH115" s="2">
        <v>-3.7851037851037952</v>
      </c>
      <c r="CI115" s="2">
        <v>3.976356797420745</v>
      </c>
      <c r="CJ115" s="2">
        <v>-4.6408137317228295</v>
      </c>
      <c r="CK115" s="2">
        <v>0.12763241863434402</v>
      </c>
    </row>
    <row r="116" spans="1:89" x14ac:dyDescent="0.35">
      <c r="A116" t="s">
        <v>30</v>
      </c>
      <c r="B116">
        <v>2022</v>
      </c>
      <c r="C116" t="s">
        <v>34</v>
      </c>
      <c r="D116">
        <v>163.9</v>
      </c>
      <c r="E116" s="2">
        <v>139.2551</v>
      </c>
      <c r="F116">
        <v>167.4</v>
      </c>
      <c r="G116">
        <v>161.19999999999999</v>
      </c>
      <c r="H116">
        <v>175.3</v>
      </c>
      <c r="I116">
        <v>166.7</v>
      </c>
      <c r="AD116">
        <v>1.0442260442260372</v>
      </c>
      <c r="AE116">
        <v>4.5138888888888919</v>
      </c>
      <c r="AF116">
        <v>-2.120141342756197</v>
      </c>
      <c r="AG116">
        <v>-7.637231503579943</v>
      </c>
      <c r="AH116">
        <v>1.8615474112856245</v>
      </c>
      <c r="AI116">
        <v>3.3992583436341159</v>
      </c>
      <c r="AJ116">
        <v>-8.3289680460974367</v>
      </c>
      <c r="AK116">
        <v>-4.3113772455089752</v>
      </c>
      <c r="AL116">
        <v>-11.685116851168512</v>
      </c>
      <c r="AM116">
        <v>-5.4119061936259767</v>
      </c>
      <c r="AN116">
        <v>-4.7855811062772018</v>
      </c>
      <c r="AO116">
        <v>16.405072417455443</v>
      </c>
      <c r="AP116">
        <v>-4.59342023587834</v>
      </c>
      <c r="AQ116">
        <v>-0.4366812227074342</v>
      </c>
      <c r="AR116">
        <v>-4.8509643483342977</v>
      </c>
      <c r="AS116">
        <v>-4.23880597014925</v>
      </c>
      <c r="AT116">
        <v>3.3123028391167257</v>
      </c>
      <c r="AU116">
        <v>-4.4703000612369941</v>
      </c>
      <c r="AV116">
        <v>-0.79462102689485514</v>
      </c>
      <c r="BL116" s="2">
        <v>1.7537942664418174</v>
      </c>
      <c r="BM116" s="2">
        <v>-2.3050847457627159</v>
      </c>
      <c r="BN116" s="2">
        <v>-2.6835443037974742</v>
      </c>
      <c r="BO116" s="2">
        <v>-0.54644808743168016</v>
      </c>
      <c r="BP116" s="2">
        <v>0.71197411003235878</v>
      </c>
      <c r="BQ116" s="2">
        <v>-2.2886204704386666</v>
      </c>
      <c r="BR116" s="2">
        <v>-9.9939795304033687</v>
      </c>
      <c r="BS116" s="2">
        <v>-0.80695220360023767</v>
      </c>
      <c r="BT116" s="2">
        <v>-1.487314085739285</v>
      </c>
      <c r="BU116" s="2">
        <v>0.55350553505535405</v>
      </c>
      <c r="BV116" s="2">
        <v>3.8487060384870682</v>
      </c>
      <c r="BW116" s="2">
        <v>-1.2331180270111701</v>
      </c>
      <c r="BX116" s="2">
        <v>-2.3067331670823048</v>
      </c>
      <c r="BY116" s="2">
        <v>4.7953964194373402</v>
      </c>
      <c r="BZ116" s="2">
        <v>1.7408123791102625</v>
      </c>
      <c r="CA116" s="2">
        <v>6.6330209084354861</v>
      </c>
      <c r="CB116" s="2">
        <v>2.4901703800786446</v>
      </c>
      <c r="CC116" s="2">
        <v>2.7173913043478262</v>
      </c>
      <c r="CD116" s="2">
        <v>0</v>
      </c>
      <c r="CE116" s="2">
        <v>2.6917900403768504</v>
      </c>
      <c r="CF116" s="2">
        <v>-0.71013557133634231</v>
      </c>
      <c r="CG116" s="2">
        <v>3.0592734225621308</v>
      </c>
      <c r="CH116" s="2">
        <v>1.6497461928933976</v>
      </c>
      <c r="CI116" s="2">
        <v>-2.7906976744186078</v>
      </c>
      <c r="CJ116" s="2">
        <v>2.5333333333333408</v>
      </c>
      <c r="CK116" s="2">
        <v>-6.3734862970040995E-2</v>
      </c>
    </row>
    <row r="117" spans="1:89" x14ac:dyDescent="0.35">
      <c r="A117" t="s">
        <v>32</v>
      </c>
      <c r="B117">
        <v>2022</v>
      </c>
      <c r="C117" t="s">
        <v>34</v>
      </c>
      <c r="D117">
        <v>170.2</v>
      </c>
      <c r="E117" s="2">
        <v>165.5</v>
      </c>
      <c r="F117">
        <v>163</v>
      </c>
      <c r="G117">
        <v>153.1</v>
      </c>
      <c r="H117">
        <v>167.2</v>
      </c>
      <c r="I117">
        <v>165.5</v>
      </c>
      <c r="AD117">
        <v>-0.24316109422492746</v>
      </c>
      <c r="AE117">
        <v>-0.58139534883721167</v>
      </c>
      <c r="AF117">
        <v>1.5643802647412892</v>
      </c>
      <c r="AG117">
        <v>5.1033591731266004</v>
      </c>
      <c r="AH117">
        <v>-0.6853226727584173</v>
      </c>
      <c r="AI117">
        <v>-1.9725044829647407</v>
      </c>
      <c r="AJ117">
        <v>7.4285714285714288</v>
      </c>
      <c r="AK117">
        <v>2.941176470588228</v>
      </c>
      <c r="AL117">
        <v>8.147632311977727</v>
      </c>
      <c r="AM117">
        <v>3.7507946598855542</v>
      </c>
      <c r="AN117">
        <v>2.806788511749355</v>
      </c>
      <c r="AO117">
        <v>0</v>
      </c>
      <c r="AP117">
        <v>2.5374105400130165</v>
      </c>
      <c r="AQ117">
        <v>0.25062656641604369</v>
      </c>
      <c r="AR117">
        <v>3.4398034398034363</v>
      </c>
      <c r="AS117">
        <v>2.1197007481296795</v>
      </c>
      <c r="AT117">
        <v>-2.2391857506361355</v>
      </c>
      <c r="AU117">
        <v>2.5641025641025639</v>
      </c>
      <c r="AV117">
        <v>0.55452865064693602</v>
      </c>
      <c r="BL117" s="2">
        <v>1.9887305270135898</v>
      </c>
      <c r="BM117" s="2">
        <v>-0.9715475364330366</v>
      </c>
      <c r="BN117" s="2">
        <v>1.7169614984391317</v>
      </c>
      <c r="BO117" s="2">
        <v>-0.24420024420024766</v>
      </c>
      <c r="BP117" s="2">
        <v>-0.44987146529562255</v>
      </c>
      <c r="BQ117" s="2">
        <v>4.4892648015614878</v>
      </c>
      <c r="BR117" s="2">
        <v>-9.6321070234113755</v>
      </c>
      <c r="BS117" s="2">
        <v>0.81351689612013944</v>
      </c>
      <c r="BT117" s="2">
        <v>-0.35523978685612034</v>
      </c>
      <c r="BU117" s="2">
        <v>0.55045871559633375</v>
      </c>
      <c r="BV117" s="2">
        <v>3.4504792332268406</v>
      </c>
      <c r="BW117" s="2">
        <v>-0.83234244946490921</v>
      </c>
      <c r="BX117" s="2">
        <v>-0.70197830248882853</v>
      </c>
      <c r="BY117" s="2">
        <v>6.8944478340451392</v>
      </c>
      <c r="BZ117" s="2">
        <v>1.8377693282636103</v>
      </c>
      <c r="CA117" s="2">
        <v>4.8681541582150025</v>
      </c>
      <c r="CB117" s="2">
        <v>2.2378516624040921</v>
      </c>
      <c r="CC117" s="2">
        <v>2.8439153439153517</v>
      </c>
      <c r="CD117" s="2">
        <v>-12.911131957473424</v>
      </c>
      <c r="CE117" s="2">
        <v>3.9318479685452163</v>
      </c>
      <c r="CF117" s="2">
        <v>0.52015604681403316</v>
      </c>
      <c r="CG117" s="2">
        <v>2.226345083487955</v>
      </c>
      <c r="CH117" s="2">
        <v>2.434456928838955</v>
      </c>
      <c r="CI117" s="2">
        <v>-0.69112174375331359</v>
      </c>
      <c r="CJ117" s="2">
        <v>2.7308192457737244</v>
      </c>
      <c r="CK117" s="2">
        <v>0.51020408163264219</v>
      </c>
    </row>
    <row r="118" spans="1:89" x14ac:dyDescent="0.35">
      <c r="A118" t="s">
        <v>33</v>
      </c>
      <c r="B118">
        <v>2022</v>
      </c>
      <c r="C118" t="s">
        <v>34</v>
      </c>
      <c r="D118">
        <v>166.2</v>
      </c>
      <c r="E118" s="2">
        <v>165.5</v>
      </c>
      <c r="F118">
        <v>165.7</v>
      </c>
      <c r="G118">
        <v>156.9</v>
      </c>
      <c r="H118">
        <v>172.2</v>
      </c>
      <c r="I118">
        <v>166.1</v>
      </c>
      <c r="AD118">
        <v>-0.12187690432662317</v>
      </c>
      <c r="AE118">
        <v>-0.33416875522139156</v>
      </c>
      <c r="AF118">
        <v>0.77014218009477653</v>
      </c>
      <c r="AG118">
        <v>3.4419176398279183</v>
      </c>
      <c r="AH118">
        <v>-0.63254744105807603</v>
      </c>
      <c r="AI118">
        <v>-1.1585365853658571</v>
      </c>
      <c r="AJ118">
        <v>3.9893617021276597</v>
      </c>
      <c r="AK118">
        <v>1.9452887537993853</v>
      </c>
      <c r="AL118">
        <v>5.3444945267224613</v>
      </c>
      <c r="AM118">
        <v>2.3897058823529447</v>
      </c>
      <c r="AN118">
        <v>2.4126984126984197</v>
      </c>
      <c r="AO118">
        <v>-14.09309068476249</v>
      </c>
      <c r="AP118">
        <v>3.2360406091370524</v>
      </c>
      <c r="AQ118">
        <v>0.12499999999999289</v>
      </c>
      <c r="AR118">
        <v>2.0783847980997625</v>
      </c>
      <c r="AS118">
        <v>2.8693528693528623</v>
      </c>
      <c r="AT118">
        <v>-0.83289953149401053</v>
      </c>
      <c r="AU118">
        <v>2.3750000000000071</v>
      </c>
      <c r="AV118">
        <v>0.49019607843137958</v>
      </c>
      <c r="BL118" s="2">
        <v>-3.4774130646733798</v>
      </c>
      <c r="BM118" s="2">
        <v>3.4337771548703615</v>
      </c>
      <c r="BN118" s="2">
        <v>3.5805626598465472</v>
      </c>
      <c r="BO118" s="2">
        <v>1.8359853121175032</v>
      </c>
      <c r="BP118" s="2">
        <v>6.455777921239142E-2</v>
      </c>
      <c r="BQ118" s="2">
        <v>5.1058530510585411</v>
      </c>
      <c r="BR118" s="2">
        <v>19.615099925980754</v>
      </c>
      <c r="BS118" s="2">
        <v>1.0552451893234123</v>
      </c>
      <c r="BT118" s="2">
        <v>2.317290552584665</v>
      </c>
      <c r="BU118" s="2">
        <v>-0.97323600973235669</v>
      </c>
      <c r="BV118" s="2">
        <v>-6.4237183446571988</v>
      </c>
      <c r="BW118" s="2">
        <v>2.7577937649880058</v>
      </c>
      <c r="BX118" s="2">
        <v>4.1131105398457626</v>
      </c>
      <c r="BY118" s="2">
        <v>-7.8767123287671144</v>
      </c>
      <c r="BZ118" s="2">
        <v>-2.9869321717485895</v>
      </c>
      <c r="CA118" s="2">
        <v>-10.186976144422943</v>
      </c>
      <c r="CB118" s="2">
        <v>-4.0650406504065035</v>
      </c>
      <c r="CC118" s="2">
        <v>-5.0803858520900356</v>
      </c>
      <c r="CD118" s="2">
        <v>15.902397829594756</v>
      </c>
      <c r="CE118" s="2">
        <v>-5.9899117276166463</v>
      </c>
      <c r="CF118" s="2">
        <v>1.29366106080207</v>
      </c>
      <c r="CG118" s="2">
        <v>-4.718693284936486</v>
      </c>
      <c r="CH118" s="2">
        <v>-3.9609993906154788</v>
      </c>
      <c r="CI118" s="2">
        <v>4.0685224839400398</v>
      </c>
      <c r="CJ118" s="2">
        <v>-4.7468354430379751</v>
      </c>
      <c r="CK118" s="2">
        <v>0.25380710659898842</v>
      </c>
    </row>
    <row r="119" spans="1:89" x14ac:dyDescent="0.35">
      <c r="A119" t="s">
        <v>30</v>
      </c>
      <c r="B119">
        <v>2022</v>
      </c>
      <c r="C119" t="s">
        <v>35</v>
      </c>
      <c r="D119">
        <v>166.6</v>
      </c>
      <c r="E119" s="2">
        <v>139.2551</v>
      </c>
      <c r="F119">
        <v>168.9</v>
      </c>
      <c r="G119">
        <v>162</v>
      </c>
      <c r="H119">
        <v>176</v>
      </c>
      <c r="I119">
        <v>168.7</v>
      </c>
      <c r="AD119">
        <v>0.36607687614398676</v>
      </c>
      <c r="AE119">
        <v>0.9220452640402419</v>
      </c>
      <c r="AF119">
        <v>-2.2927689594356293</v>
      </c>
      <c r="AG119">
        <v>-8.0213903743315509</v>
      </c>
      <c r="AH119">
        <v>1.3310185185185086</v>
      </c>
      <c r="AI119">
        <v>3.2078963602714476</v>
      </c>
      <c r="AJ119">
        <v>-10.485933503836318</v>
      </c>
      <c r="AK119">
        <v>-4.7107930828860933</v>
      </c>
      <c r="AL119">
        <v>-12.224938875305625</v>
      </c>
      <c r="AM119">
        <v>-5.8049072411729439</v>
      </c>
      <c r="AN119">
        <v>-4.9597024178549285</v>
      </c>
      <c r="AO119">
        <v>16.405072417455443</v>
      </c>
      <c r="AP119">
        <v>-5.408727719729554</v>
      </c>
      <c r="AQ119">
        <v>-0.37453183520598898</v>
      </c>
      <c r="AR119">
        <v>-5.2937754508435102</v>
      </c>
      <c r="AS119">
        <v>-4.8664688427299634</v>
      </c>
      <c r="AT119">
        <v>3.1496062992125982</v>
      </c>
      <c r="AU119">
        <v>-4.761904761904769</v>
      </c>
      <c r="AV119">
        <v>-1.0365853658536517</v>
      </c>
      <c r="BL119" s="2">
        <v>1.7508417508417469</v>
      </c>
      <c r="BM119" s="2">
        <v>-2.2357723577235658</v>
      </c>
      <c r="BN119" s="2">
        <v>-2.2222222222222223</v>
      </c>
      <c r="BO119" s="2">
        <v>-1.081730769230776</v>
      </c>
      <c r="BP119" s="2">
        <v>0.64516129032258063</v>
      </c>
      <c r="BQ119" s="2">
        <v>-2.6066350710900505</v>
      </c>
      <c r="BR119" s="2">
        <v>-10.829207920792079</v>
      </c>
      <c r="BS119" s="2">
        <v>-0.67567567567568965</v>
      </c>
      <c r="BT119" s="2">
        <v>-1.4808362369338004</v>
      </c>
      <c r="BU119" s="2">
        <v>0.6756756756756721</v>
      </c>
      <c r="BV119" s="2">
        <v>4.0264026402640232</v>
      </c>
      <c r="BW119" s="2">
        <v>-1.4585764294049008</v>
      </c>
      <c r="BX119" s="2">
        <v>-2.4691358024691357</v>
      </c>
      <c r="BY119" s="2">
        <v>5.3903345724906995</v>
      </c>
      <c r="BZ119" s="2">
        <v>1.8601667735728067</v>
      </c>
      <c r="CA119" s="2">
        <v>6.604450825556345</v>
      </c>
      <c r="CB119" s="2">
        <v>2.5423728813559356</v>
      </c>
      <c r="CC119" s="2">
        <v>2.8455284552845646</v>
      </c>
      <c r="CD119" s="2">
        <v>0</v>
      </c>
      <c r="CE119" s="2">
        <v>2.7498323272971121</v>
      </c>
      <c r="CF119" s="2">
        <v>-0.76628352490420737</v>
      </c>
      <c r="CG119" s="2">
        <v>3.047619047619055</v>
      </c>
      <c r="CH119" s="2">
        <v>1.7131979695431583</v>
      </c>
      <c r="CI119" s="2">
        <v>-2.8806584362139889</v>
      </c>
      <c r="CJ119" s="2">
        <v>2.5913621262458513</v>
      </c>
      <c r="CK119" s="2">
        <v>-0.12658227848100545</v>
      </c>
    </row>
    <row r="120" spans="1:89" x14ac:dyDescent="0.35">
      <c r="A120" t="s">
        <v>32</v>
      </c>
      <c r="B120">
        <v>2022</v>
      </c>
      <c r="C120" t="s">
        <v>35</v>
      </c>
      <c r="D120">
        <v>171.5</v>
      </c>
      <c r="E120" s="2">
        <v>165.3</v>
      </c>
      <c r="F120">
        <v>164.5</v>
      </c>
      <c r="G120">
        <v>154.19999999999999</v>
      </c>
      <c r="H120">
        <v>168.2</v>
      </c>
      <c r="I120">
        <v>166.5</v>
      </c>
      <c r="AD120">
        <v>-0.24316109422492746</v>
      </c>
      <c r="AE120">
        <v>-0.58139534883721167</v>
      </c>
      <c r="AF120">
        <v>1.5643802647412892</v>
      </c>
      <c r="AG120">
        <v>5.1033591731266004</v>
      </c>
      <c r="AH120">
        <v>-0.6853226727584173</v>
      </c>
      <c r="AI120">
        <v>-1.9725044829647407</v>
      </c>
      <c r="AJ120">
        <v>7.4285714285714288</v>
      </c>
      <c r="AK120">
        <v>3.0037546933666976</v>
      </c>
      <c r="AL120">
        <v>8.147632311977727</v>
      </c>
      <c r="AM120">
        <v>3.7484116899618845</v>
      </c>
      <c r="AN120">
        <v>2.7397260273972526</v>
      </c>
      <c r="AO120">
        <v>0</v>
      </c>
      <c r="AP120">
        <v>2.4691358024691246</v>
      </c>
      <c r="AQ120">
        <v>0.25062656641604369</v>
      </c>
      <c r="AR120">
        <v>3.4398034398034363</v>
      </c>
      <c r="AS120">
        <v>2.1210230817217575</v>
      </c>
      <c r="AT120">
        <v>-2.2391857506361355</v>
      </c>
      <c r="AU120">
        <v>2.5641025641025639</v>
      </c>
      <c r="AV120">
        <v>0.55452865064693602</v>
      </c>
      <c r="BL120" s="2">
        <v>4.2025148908007903</v>
      </c>
      <c r="BM120" s="2">
        <v>0.55440055440054248</v>
      </c>
      <c r="BN120" s="2">
        <v>0.25252525252525254</v>
      </c>
      <c r="BO120" s="2">
        <v>2.4301336573511545</v>
      </c>
      <c r="BP120" s="2">
        <v>-0.38461538461538097</v>
      </c>
      <c r="BQ120" s="2">
        <v>-1.2773722627737192</v>
      </c>
      <c r="BR120" s="2">
        <v>-3.9555863983344821</v>
      </c>
      <c r="BS120" s="2">
        <v>2.1026592455163922</v>
      </c>
      <c r="BT120" s="2">
        <v>1.0610079575596842</v>
      </c>
      <c r="BU120" s="2">
        <v>3.5387431360585619</v>
      </c>
      <c r="BV120" s="2">
        <v>4.4416243654822338</v>
      </c>
      <c r="BW120" s="2">
        <v>0.53285968028419517</v>
      </c>
      <c r="BX120" s="2">
        <v>0.44303797468353712</v>
      </c>
      <c r="BY120" s="2">
        <v>8.4068195179306358</v>
      </c>
      <c r="BZ120" s="2">
        <v>4.093198992443325</v>
      </c>
      <c r="CA120" s="2">
        <v>8.1481481481481453</v>
      </c>
      <c r="CB120" s="2">
        <v>4.5772409408772967</v>
      </c>
      <c r="CC120" s="2">
        <v>4.6113306982872198</v>
      </c>
      <c r="CD120" s="2">
        <v>-13.720508054522929</v>
      </c>
      <c r="CE120" s="2">
        <v>4.4386422976501381</v>
      </c>
      <c r="CF120" s="2">
        <v>2.5096525096525135</v>
      </c>
      <c r="CG120" s="2">
        <v>4.189772027110279</v>
      </c>
      <c r="CH120" s="2">
        <v>4.5539613225202631</v>
      </c>
      <c r="CI120" s="2">
        <v>0.42372881355931302</v>
      </c>
      <c r="CJ120" s="2">
        <v>4.3393782383419612</v>
      </c>
      <c r="CK120" s="2">
        <v>2.0912547528517003</v>
      </c>
    </row>
    <row r="121" spans="1:89" x14ac:dyDescent="0.35">
      <c r="A121" t="s">
        <v>33</v>
      </c>
      <c r="B121">
        <v>2022</v>
      </c>
      <c r="C121" t="s">
        <v>35</v>
      </c>
      <c r="D121">
        <v>168.4</v>
      </c>
      <c r="E121" s="2">
        <v>165.3</v>
      </c>
      <c r="F121">
        <v>167.2</v>
      </c>
      <c r="G121">
        <v>157.9</v>
      </c>
      <c r="H121">
        <v>173</v>
      </c>
      <c r="I121">
        <v>167.7</v>
      </c>
      <c r="AD121">
        <v>0.67032297379646211</v>
      </c>
      <c r="AE121">
        <v>1.5873015873015803</v>
      </c>
      <c r="AF121">
        <v>1.0663507109004637</v>
      </c>
      <c r="AG121">
        <v>3.7492317148125531</v>
      </c>
      <c r="AH121">
        <v>-0.17251293847039181</v>
      </c>
      <c r="AI121">
        <v>0.91463414634146334</v>
      </c>
      <c r="AJ121">
        <v>5.7446808510638361</v>
      </c>
      <c r="AK121">
        <v>2.612393681652498</v>
      </c>
      <c r="AL121">
        <v>6.117192530585962</v>
      </c>
      <c r="AM121">
        <v>3.0618493570116345</v>
      </c>
      <c r="AN121">
        <v>2.8571428571428572</v>
      </c>
      <c r="AO121">
        <v>-14.09309068476249</v>
      </c>
      <c r="AP121">
        <v>3.487634749524414</v>
      </c>
      <c r="AQ121">
        <v>0.68749999999999645</v>
      </c>
      <c r="AR121">
        <v>2.4346793349168614</v>
      </c>
      <c r="AS121">
        <v>3.237629810629207</v>
      </c>
      <c r="AT121">
        <v>-0.46850598646538555</v>
      </c>
      <c r="AU121">
        <v>2.9374999999999929</v>
      </c>
      <c r="AV121">
        <v>1.8995098039215828</v>
      </c>
      <c r="BL121" s="2">
        <v>-4.5728802794537877</v>
      </c>
      <c r="BM121" s="2">
        <v>2.5499655410062143</v>
      </c>
      <c r="BN121" s="2">
        <v>2.9219143576826254</v>
      </c>
      <c r="BO121" s="2">
        <v>2.6097271648873108</v>
      </c>
      <c r="BP121" s="2">
        <v>0.25740025740026101</v>
      </c>
      <c r="BQ121" s="2">
        <v>6.2846580406654269</v>
      </c>
      <c r="BR121" s="2">
        <v>20.303468208092482</v>
      </c>
      <c r="BS121" s="2">
        <v>0.4845548152634836</v>
      </c>
      <c r="BT121" s="2">
        <v>1.3998250218722734</v>
      </c>
      <c r="BU121" s="2">
        <v>-2.6517383618149681</v>
      </c>
      <c r="BV121" s="2">
        <v>-7.6549210206561327</v>
      </c>
      <c r="BW121" s="2">
        <v>0.76560659599527847</v>
      </c>
      <c r="BX121" s="2">
        <v>3.465658475110271</v>
      </c>
      <c r="BY121" s="2">
        <v>-8.4598698481561794</v>
      </c>
      <c r="BZ121" s="2">
        <v>-5.3236539624924442</v>
      </c>
      <c r="CA121" s="2">
        <v>-12.702366127023664</v>
      </c>
      <c r="CB121" s="2">
        <v>-6.3221884498480279</v>
      </c>
      <c r="CC121" s="2">
        <v>-5.4785894206549219</v>
      </c>
      <c r="CD121" s="2">
        <v>16.046019140412092</v>
      </c>
      <c r="CE121" s="2">
        <v>-4.6250000000000036</v>
      </c>
      <c r="CF121" s="2">
        <v>-1.1299435028248659</v>
      </c>
      <c r="CG121" s="2">
        <v>-5.1448846836191535</v>
      </c>
      <c r="CH121" s="2">
        <v>-6.5632458233890221</v>
      </c>
      <c r="CI121" s="2">
        <v>4.5358649789029508</v>
      </c>
      <c r="CJ121" s="2">
        <v>-5.4624456859093629</v>
      </c>
      <c r="CK121" s="2">
        <v>-0.99317194289260979</v>
      </c>
    </row>
    <row r="122" spans="1:89" x14ac:dyDescent="0.35">
      <c r="A122" t="s">
        <v>30</v>
      </c>
      <c r="B122">
        <v>2022</v>
      </c>
      <c r="C122" t="s">
        <v>36</v>
      </c>
      <c r="D122">
        <v>168.6</v>
      </c>
      <c r="E122" s="2">
        <v>139.2551</v>
      </c>
      <c r="F122">
        <v>173.3</v>
      </c>
      <c r="G122">
        <v>166.2</v>
      </c>
      <c r="H122">
        <v>177</v>
      </c>
      <c r="I122">
        <v>170.8</v>
      </c>
      <c r="AD122">
        <v>6.0532687651345493E-2</v>
      </c>
      <c r="AE122">
        <v>0.74013157894737314</v>
      </c>
      <c r="AF122">
        <v>-2.227432590855793</v>
      </c>
      <c r="AG122">
        <v>-7.9383886255924203</v>
      </c>
      <c r="AH122">
        <v>1.3248847926267346</v>
      </c>
      <c r="AI122">
        <v>3.6253776435045322</v>
      </c>
      <c r="AJ122">
        <v>-11.167002012072443</v>
      </c>
      <c r="AK122">
        <v>-4.795737122557723</v>
      </c>
      <c r="AL122">
        <v>-12.378640776699031</v>
      </c>
      <c r="AM122">
        <v>-5.9417706476530006</v>
      </c>
      <c r="AN122">
        <v>-4.75308641975308</v>
      </c>
      <c r="AO122">
        <v>17.482232248585504</v>
      </c>
      <c r="AP122">
        <v>-4.9632352941176441</v>
      </c>
      <c r="AQ122">
        <v>-0.49658597144629607</v>
      </c>
      <c r="AR122">
        <v>-5.2173913043478262</v>
      </c>
      <c r="AS122">
        <v>-5.1479289940828332</v>
      </c>
      <c r="AT122">
        <v>3.0334728033472866</v>
      </c>
      <c r="AU122">
        <v>-4.6751669702489309</v>
      </c>
      <c r="AV122">
        <v>-1.0222489476849168</v>
      </c>
      <c r="BL122" s="2">
        <v>2.5956738768718837</v>
      </c>
      <c r="BM122" s="2">
        <v>-1.6801075268817203</v>
      </c>
      <c r="BN122" s="2">
        <v>-1.8600097895252137</v>
      </c>
      <c r="BO122" s="2">
        <v>-1.5606936416184907</v>
      </c>
      <c r="BP122" s="2">
        <v>0.44929396662386939</v>
      </c>
      <c r="BQ122" s="2">
        <v>-3.1304347826086989</v>
      </c>
      <c r="BR122" s="2">
        <v>-11.171171171171167</v>
      </c>
      <c r="BS122" s="2">
        <v>-0.30138637733574442</v>
      </c>
      <c r="BT122" s="2">
        <v>-0.94909404659189678</v>
      </c>
      <c r="BU122" s="2">
        <v>1.8159806295399519</v>
      </c>
      <c r="BV122" s="2">
        <v>4.8026315789473761</v>
      </c>
      <c r="BW122" s="2">
        <v>-0.40911747516071806</v>
      </c>
      <c r="BX122" s="2">
        <v>-2.1315468940316689</v>
      </c>
      <c r="BY122" s="2">
        <v>5.8649289099525932</v>
      </c>
      <c r="BZ122" s="2">
        <v>3.3865814696485694</v>
      </c>
      <c r="CA122" s="2">
        <v>8.4878744650499343</v>
      </c>
      <c r="CB122" s="2">
        <v>4.0882543802725584</v>
      </c>
      <c r="CC122" s="2">
        <v>3.064623584277145</v>
      </c>
      <c r="CD122" s="2">
        <v>0</v>
      </c>
      <c r="CE122" s="2">
        <v>2.0969855832241264</v>
      </c>
      <c r="CF122" s="2">
        <v>0.69841269841269482</v>
      </c>
      <c r="CG122" s="2">
        <v>3.3665835411471354</v>
      </c>
      <c r="CH122" s="2">
        <v>2.9374201787994858</v>
      </c>
      <c r="CI122" s="2">
        <v>-3.1786074672048352</v>
      </c>
      <c r="CJ122" s="2">
        <v>2.9546946815495732</v>
      </c>
      <c r="CK122" s="2">
        <v>0.56426332288401615</v>
      </c>
    </row>
    <row r="123" spans="1:89" x14ac:dyDescent="0.35">
      <c r="A123" t="s">
        <v>32</v>
      </c>
      <c r="B123">
        <v>2022</v>
      </c>
      <c r="C123" t="s">
        <v>36</v>
      </c>
      <c r="D123">
        <v>174.5</v>
      </c>
      <c r="E123" s="2">
        <v>167</v>
      </c>
      <c r="F123">
        <v>170.5</v>
      </c>
      <c r="G123">
        <v>159.30000000000001</v>
      </c>
      <c r="H123">
        <v>169</v>
      </c>
      <c r="I123">
        <v>169.2</v>
      </c>
      <c r="AD123">
        <v>-6.0496067755609638E-2</v>
      </c>
      <c r="AE123">
        <v>-0.48979591836734232</v>
      </c>
      <c r="AF123">
        <v>1.4988009592326137</v>
      </c>
      <c r="AG123">
        <v>5.0193050193050075</v>
      </c>
      <c r="AH123">
        <v>-0.6822057987492991</v>
      </c>
      <c r="AI123">
        <v>-2.215743440233243</v>
      </c>
      <c r="AJ123">
        <v>7.9275198187995475</v>
      </c>
      <c r="AK123">
        <v>3.0472636815920255</v>
      </c>
      <c r="AL123">
        <v>8.2409972299168999</v>
      </c>
      <c r="AM123">
        <v>3.7902716361339226</v>
      </c>
      <c r="AN123">
        <v>2.6571613739468529</v>
      </c>
      <c r="AO123">
        <v>0</v>
      </c>
      <c r="AP123">
        <v>2.256608639587363</v>
      </c>
      <c r="AQ123">
        <v>0.31191515907673112</v>
      </c>
      <c r="AR123">
        <v>3.4250764525993849</v>
      </c>
      <c r="AS123">
        <v>2.2457891453524605</v>
      </c>
      <c r="AT123">
        <v>-2.1827411167512749</v>
      </c>
      <c r="AU123">
        <v>2.547770700636943</v>
      </c>
      <c r="AV123">
        <v>0.5467800729040132</v>
      </c>
      <c r="BL123" s="2">
        <v>2.594875121634753</v>
      </c>
      <c r="BM123" s="2">
        <v>-0.4784688995215427</v>
      </c>
      <c r="BN123" s="2">
        <v>-0.19950124688279586</v>
      </c>
      <c r="BO123" s="2">
        <v>5.2847915443335287</v>
      </c>
      <c r="BP123" s="2">
        <v>-0.25559105431310269</v>
      </c>
      <c r="BQ123" s="2">
        <v>-5.0867743865948531</v>
      </c>
      <c r="BR123" s="2">
        <v>-2.1636240703177938</v>
      </c>
      <c r="BS123" s="2">
        <v>6.0459492140262583E-2</v>
      </c>
      <c r="BT123" s="2">
        <v>-0.17421602787456694</v>
      </c>
      <c r="BU123" s="2">
        <v>1.0701545778834789</v>
      </c>
      <c r="BV123" s="2">
        <v>3.8920276208411728</v>
      </c>
      <c r="BW123" s="2">
        <v>0.76291079812205564</v>
      </c>
      <c r="BX123" s="2">
        <v>-0.12445550715618459</v>
      </c>
      <c r="BY123" s="2">
        <v>6.5472859541130486</v>
      </c>
      <c r="BZ123" s="2">
        <v>2.1631644004944373</v>
      </c>
      <c r="CA123" s="2">
        <v>5.1282051282051357</v>
      </c>
      <c r="CB123" s="2">
        <v>2.6184538653366509</v>
      </c>
      <c r="CC123" s="2">
        <v>2.9088558500323205</v>
      </c>
      <c r="CD123" s="2">
        <v>-13.827289603960393</v>
      </c>
      <c r="CE123" s="2">
        <v>2.9525032092426149</v>
      </c>
      <c r="CF123" s="2">
        <v>0.50441361916772476</v>
      </c>
      <c r="CG123" s="2">
        <v>2.3522316043425673</v>
      </c>
      <c r="CH123" s="2">
        <v>3.4739454094292945</v>
      </c>
      <c r="CI123" s="2">
        <v>-1.4590932777488332</v>
      </c>
      <c r="CJ123" s="2">
        <v>2.9974489795918293</v>
      </c>
      <c r="CK123" s="2">
        <v>1.0598503740648306</v>
      </c>
    </row>
    <row r="124" spans="1:89" x14ac:dyDescent="0.35">
      <c r="A124" t="s">
        <v>33</v>
      </c>
      <c r="B124">
        <v>2022</v>
      </c>
      <c r="C124" t="s">
        <v>36</v>
      </c>
      <c r="D124">
        <v>170.8</v>
      </c>
      <c r="E124" s="2">
        <v>167</v>
      </c>
      <c r="F124">
        <v>172.2</v>
      </c>
      <c r="G124">
        <v>162.6</v>
      </c>
      <c r="H124">
        <v>174</v>
      </c>
      <c r="I124">
        <v>170.1</v>
      </c>
      <c r="AD124">
        <v>0.12106537530267376</v>
      </c>
      <c r="AE124">
        <v>0.16406890894174619</v>
      </c>
      <c r="AF124">
        <v>0.88600118133490835</v>
      </c>
      <c r="AG124">
        <v>3.6151960784313761</v>
      </c>
      <c r="AH124">
        <v>-0.22896393817972371</v>
      </c>
      <c r="AI124">
        <v>-0.11926058437685667</v>
      </c>
      <c r="AJ124">
        <v>4.092339979013647</v>
      </c>
      <c r="AK124">
        <v>2.8364514182257197</v>
      </c>
      <c r="AL124">
        <v>6.2060140754958342</v>
      </c>
      <c r="AM124">
        <v>3.347534996956786</v>
      </c>
      <c r="AN124">
        <v>2.8409090909090908</v>
      </c>
      <c r="AO124">
        <v>-14.88074572127139</v>
      </c>
      <c r="AP124">
        <v>3.2786885245901747</v>
      </c>
      <c r="AQ124">
        <v>0.99502487562188691</v>
      </c>
      <c r="AR124">
        <v>2.5428740390301665</v>
      </c>
      <c r="AS124">
        <v>3.2946918852959155</v>
      </c>
      <c r="AT124">
        <v>-0.67462376751426212</v>
      </c>
      <c r="AU124">
        <v>2.608695652173906</v>
      </c>
      <c r="AV124">
        <v>1.2688821752265826</v>
      </c>
      <c r="BL124" s="2">
        <v>-4.0151754663294135</v>
      </c>
      <c r="BM124" s="2">
        <v>2.4725274725274686</v>
      </c>
      <c r="BN124" s="2">
        <v>2.6986506746626717</v>
      </c>
      <c r="BO124" s="2">
        <v>1.9520356943669825</v>
      </c>
      <c r="BP124" s="2">
        <v>0</v>
      </c>
      <c r="BQ124" s="2">
        <v>8.1336696090794494</v>
      </c>
      <c r="BR124" s="2">
        <v>21.76917760884589</v>
      </c>
      <c r="BS124" s="2">
        <v>0.84592145015106091</v>
      </c>
      <c r="BT124" s="2">
        <v>1.3089005235602094</v>
      </c>
      <c r="BU124" s="2">
        <v>-2.6470588235294117</v>
      </c>
      <c r="BV124" s="2">
        <v>-7.9758308157099629</v>
      </c>
      <c r="BW124" s="2">
        <v>0.93185789167153343</v>
      </c>
      <c r="BX124" s="2">
        <v>3.5514018691588713</v>
      </c>
      <c r="BY124" s="2">
        <v>-9.5588235294117734</v>
      </c>
      <c r="BZ124" s="2">
        <v>-4.8396854204476707</v>
      </c>
      <c r="CA124" s="2">
        <v>-12.132582864290184</v>
      </c>
      <c r="CB124" s="2">
        <v>-5.9538274605103174</v>
      </c>
      <c r="CC124" s="2">
        <v>-5.9045226130653123</v>
      </c>
      <c r="CD124" s="2">
        <v>15.256101930916715</v>
      </c>
      <c r="CE124" s="2">
        <v>-6.047381546134674</v>
      </c>
      <c r="CF124" s="2">
        <v>-0.87829360100376774</v>
      </c>
      <c r="CG124" s="2">
        <v>-5.2445492044784787</v>
      </c>
      <c r="CH124" s="2">
        <v>-5.2158273381295066</v>
      </c>
      <c r="CI124" s="2">
        <v>3.4373347435219461</v>
      </c>
      <c r="CJ124" s="2">
        <v>-5.0154798761609873</v>
      </c>
      <c r="CK124" s="2">
        <v>-1.0487353485502706</v>
      </c>
    </row>
    <row r="125" spans="1:89" x14ac:dyDescent="0.35">
      <c r="A125" t="s">
        <v>30</v>
      </c>
      <c r="B125">
        <v>2022</v>
      </c>
      <c r="C125" t="s">
        <v>37</v>
      </c>
      <c r="D125">
        <v>170.8</v>
      </c>
      <c r="E125" s="2">
        <v>139.2551</v>
      </c>
      <c r="F125">
        <v>175.3</v>
      </c>
      <c r="G125">
        <v>167.1</v>
      </c>
      <c r="H125">
        <v>177.7</v>
      </c>
      <c r="I125">
        <v>172.5</v>
      </c>
      <c r="AD125">
        <v>-0.18137847642080493</v>
      </c>
      <c r="AE125">
        <v>0.819000819000819</v>
      </c>
      <c r="AF125">
        <v>-2.107728337236547</v>
      </c>
      <c r="AG125">
        <v>-7.6877587226493196</v>
      </c>
      <c r="AH125">
        <v>1.4343086632243258</v>
      </c>
      <c r="AI125">
        <v>3.5820895522388061</v>
      </c>
      <c r="AJ125">
        <v>-11.391129032258061</v>
      </c>
      <c r="AK125">
        <v>-4.7535211267605595</v>
      </c>
      <c r="AL125">
        <v>-12.469879518072283</v>
      </c>
      <c r="AM125">
        <v>-5.9481743227326396</v>
      </c>
      <c r="AN125">
        <v>-4.7268262737876103</v>
      </c>
      <c r="AO125">
        <v>17.913096181037528</v>
      </c>
      <c r="AP125">
        <v>-4.3345543345543485</v>
      </c>
      <c r="AQ125">
        <v>-0.36945812807881423</v>
      </c>
      <c r="AR125">
        <v>-5.3056516724336884</v>
      </c>
      <c r="AS125">
        <v>-5.0206733608978142</v>
      </c>
      <c r="AT125">
        <v>2.9258098223615434</v>
      </c>
      <c r="AU125">
        <v>-4.7820823244551924</v>
      </c>
      <c r="AV125">
        <v>-1.1933174224343674</v>
      </c>
      <c r="BL125" s="2">
        <v>2.2727272727272654</v>
      </c>
      <c r="BM125" s="2">
        <v>-1.6756032171581769</v>
      </c>
      <c r="BN125" s="2">
        <v>-1.7031630170316301</v>
      </c>
      <c r="BO125" s="2">
        <v>-1.1487964989059205</v>
      </c>
      <c r="BP125" s="2">
        <v>0.25624599615631372</v>
      </c>
      <c r="BQ125" s="2">
        <v>-4.0233236151603533</v>
      </c>
      <c r="BR125" s="2">
        <v>-11.804767309875134</v>
      </c>
      <c r="BS125" s="2">
        <v>-0.53924505692031499</v>
      </c>
      <c r="BT125" s="2">
        <v>-0.8613264427217916</v>
      </c>
      <c r="BU125" s="2">
        <v>1.8126888217522661</v>
      </c>
      <c r="BV125" s="2">
        <v>5.055810899540373</v>
      </c>
      <c r="BW125" s="2">
        <v>-0.51933064050779321</v>
      </c>
      <c r="BX125" s="2">
        <v>-2.1660649819494551</v>
      </c>
      <c r="BY125" s="2">
        <v>6.6782810685249716</v>
      </c>
      <c r="BZ125" s="2">
        <v>3.1150667514303731</v>
      </c>
      <c r="CA125" s="2">
        <v>8.0427046263345279</v>
      </c>
      <c r="CB125" s="2">
        <v>3.8113695090439124</v>
      </c>
      <c r="CC125" s="2">
        <v>3.3377837116154869</v>
      </c>
      <c r="CD125" s="2">
        <v>0</v>
      </c>
      <c r="CE125" s="2">
        <v>2.7869940278699517</v>
      </c>
      <c r="CF125" s="2">
        <v>0.50632911392405788</v>
      </c>
      <c r="CG125" s="2">
        <v>3.4203980099502482</v>
      </c>
      <c r="CH125" s="2">
        <v>2.2770398481973397</v>
      </c>
      <c r="CI125" s="2">
        <v>-2.4539877300613409</v>
      </c>
      <c r="CJ125" s="2">
        <v>2.7379400260756115</v>
      </c>
      <c r="CK125" s="2">
        <v>0.56109725685785894</v>
      </c>
    </row>
    <row r="126" spans="1:89" x14ac:dyDescent="0.35">
      <c r="A126" t="s">
        <v>32</v>
      </c>
      <c r="B126">
        <v>2022</v>
      </c>
      <c r="C126" t="s">
        <v>37</v>
      </c>
      <c r="D126">
        <v>177.5</v>
      </c>
      <c r="E126" s="2">
        <v>167.5</v>
      </c>
      <c r="F126">
        <v>173.5</v>
      </c>
      <c r="G126">
        <v>159.4</v>
      </c>
      <c r="H126">
        <v>170.1</v>
      </c>
      <c r="I126">
        <v>170.8</v>
      </c>
      <c r="AD126">
        <v>0.12113870381587952</v>
      </c>
      <c r="AE126">
        <v>-0.56864337936635956</v>
      </c>
      <c r="AF126">
        <v>1.4354066985645968</v>
      </c>
      <c r="AG126">
        <v>4.8686739269698878</v>
      </c>
      <c r="AH126">
        <v>-0.7352941176470652</v>
      </c>
      <c r="AI126">
        <v>-2.1902017291066347</v>
      </c>
      <c r="AJ126">
        <v>8.134243458475531</v>
      </c>
      <c r="AK126">
        <v>3.0191004313000471</v>
      </c>
      <c r="AL126">
        <v>8.3275980729525081</v>
      </c>
      <c r="AM126">
        <v>3.819661865998762</v>
      </c>
      <c r="AN126">
        <v>2.6417525773196027</v>
      </c>
      <c r="AO126">
        <v>0</v>
      </c>
      <c r="AP126">
        <v>1.9783024888321781</v>
      </c>
      <c r="AQ126">
        <v>0.24721878862792165</v>
      </c>
      <c r="AR126">
        <v>3.471376370280157</v>
      </c>
      <c r="AS126">
        <v>2.1766169154228852</v>
      </c>
      <c r="AT126">
        <v>-2.0812182741116723</v>
      </c>
      <c r="AU126">
        <v>2.6064844246662391</v>
      </c>
      <c r="AV126">
        <v>0.66425120772946522</v>
      </c>
      <c r="BL126" s="2">
        <v>2.9307568438003293</v>
      </c>
      <c r="BM126" s="2">
        <v>-1.0906612133605962</v>
      </c>
      <c r="BN126" s="2">
        <v>1.2376237623762376</v>
      </c>
      <c r="BO126" s="2">
        <v>-0.16602102933037244</v>
      </c>
      <c r="BP126" s="2">
        <v>-0.19169329073483155</v>
      </c>
      <c r="BQ126" s="2">
        <v>-4.1919805589307444</v>
      </c>
      <c r="BR126" s="2">
        <v>-1.6731016731016692</v>
      </c>
      <c r="BS126" s="2">
        <v>-1.445783132530124</v>
      </c>
      <c r="BT126" s="2">
        <v>-1.0425716768027704</v>
      </c>
      <c r="BU126" s="2">
        <v>0.71216617210681821</v>
      </c>
      <c r="BV126" s="2">
        <v>3.8749999999999929</v>
      </c>
      <c r="BW126" s="2">
        <v>-0.81206496519721905</v>
      </c>
      <c r="BX126" s="2">
        <v>-0.55350553505535405</v>
      </c>
      <c r="BY126" s="2">
        <v>2.7218290691344587</v>
      </c>
      <c r="BZ126" s="2">
        <v>2.3427866831072821</v>
      </c>
      <c r="CA126" s="2">
        <v>6.1264822134387238</v>
      </c>
      <c r="CB126" s="2">
        <v>2.8624766645924229</v>
      </c>
      <c r="CC126" s="2">
        <v>3.5529715762273901</v>
      </c>
      <c r="CD126" s="2">
        <v>-13.236697819314641</v>
      </c>
      <c r="CE126" s="2">
        <v>3.7443511943189041</v>
      </c>
      <c r="CF126" s="2">
        <v>1.0075566750629685</v>
      </c>
      <c r="CG126" s="2">
        <v>2.4654239326518304</v>
      </c>
      <c r="CH126" s="2">
        <v>3.4013605442176873</v>
      </c>
      <c r="CI126" s="2">
        <v>-0.57651991614256948</v>
      </c>
      <c r="CJ126" s="2">
        <v>3.2994923857868135</v>
      </c>
      <c r="CK126" s="2">
        <v>1.1779293242405315</v>
      </c>
    </row>
    <row r="127" spans="1:89" x14ac:dyDescent="0.35">
      <c r="A127" t="s">
        <v>33</v>
      </c>
      <c r="B127">
        <v>2022</v>
      </c>
      <c r="C127" t="s">
        <v>37</v>
      </c>
      <c r="D127">
        <v>173.3</v>
      </c>
      <c r="E127" s="2">
        <v>167.5</v>
      </c>
      <c r="F127">
        <v>174.6</v>
      </c>
      <c r="G127">
        <v>163</v>
      </c>
      <c r="H127">
        <v>174.8</v>
      </c>
      <c r="I127">
        <v>171.7</v>
      </c>
      <c r="AD127">
        <v>-0.48396854204477391</v>
      </c>
      <c r="AE127">
        <v>-1.4705882352941269</v>
      </c>
      <c r="AF127">
        <v>1.2382075471698082</v>
      </c>
      <c r="AG127">
        <v>3.6652412950519242</v>
      </c>
      <c r="AH127">
        <v>-0.22792022792023114</v>
      </c>
      <c r="AI127">
        <v>-2.2981732469062921</v>
      </c>
      <c r="AJ127">
        <v>2.998421883219367</v>
      </c>
      <c r="AK127">
        <v>2.7511961722488176</v>
      </c>
      <c r="AL127">
        <v>6.2897077509529904</v>
      </c>
      <c r="AM127">
        <v>3.2569360675512526</v>
      </c>
      <c r="AN127">
        <v>2.8876333961079683</v>
      </c>
      <c r="AO127">
        <v>-15.191778319123014</v>
      </c>
      <c r="AP127">
        <v>2.941176470588228</v>
      </c>
      <c r="AQ127">
        <v>0.36991368680642589</v>
      </c>
      <c r="AR127">
        <v>2.4131842260152996</v>
      </c>
      <c r="AS127">
        <v>3.2866707242848308</v>
      </c>
      <c r="AT127">
        <v>-1.0886469673405881</v>
      </c>
      <c r="AU127">
        <v>2.8500619578686459</v>
      </c>
      <c r="AV127">
        <v>0.17996400719856712</v>
      </c>
      <c r="BL127" s="2">
        <v>-3.8798498122653422</v>
      </c>
      <c r="BM127" s="2">
        <v>2.7567195037904892</v>
      </c>
      <c r="BN127" s="2">
        <v>3.129584352078242</v>
      </c>
      <c r="BO127" s="2">
        <v>2.5498891352549857</v>
      </c>
      <c r="BP127" s="2">
        <v>0.57618437900128405</v>
      </c>
      <c r="BQ127" s="2">
        <v>8.3703233988586039</v>
      </c>
      <c r="BR127" s="2">
        <v>21.989528795811513</v>
      </c>
      <c r="BS127" s="2">
        <v>0.67237163814180578</v>
      </c>
      <c r="BT127" s="2">
        <v>1.5803336259877059</v>
      </c>
      <c r="BU127" s="2">
        <v>-2.4749558043606301</v>
      </c>
      <c r="BV127" s="2">
        <v>-7.701564380264732</v>
      </c>
      <c r="BW127" s="2">
        <v>1.4619883040935671</v>
      </c>
      <c r="BX127" s="2">
        <v>3.8342609771181304</v>
      </c>
      <c r="BY127" s="2">
        <v>-9.5919448860625316</v>
      </c>
      <c r="BZ127" s="2">
        <v>-4.8795180722891534</v>
      </c>
      <c r="CA127" s="2">
        <v>-11.918063314711352</v>
      </c>
      <c r="CB127" s="2">
        <v>-5.9286146400484032</v>
      </c>
      <c r="CC127" s="2">
        <v>-5.9887710542732515</v>
      </c>
      <c r="CD127" s="2">
        <v>15.974208485003421</v>
      </c>
      <c r="CE127" s="2">
        <v>-5.9116365899191043</v>
      </c>
      <c r="CF127" s="2">
        <v>-0.49875311720698967</v>
      </c>
      <c r="CG127" s="2">
        <v>-5.2230046948356836</v>
      </c>
      <c r="CH127" s="2">
        <v>-4.1267942583731925</v>
      </c>
      <c r="CI127" s="2">
        <v>3.057459146020038</v>
      </c>
      <c r="CJ127" s="2">
        <v>-4.7911547911547974</v>
      </c>
      <c r="CK127" s="2">
        <v>-0.85784313725488814</v>
      </c>
    </row>
    <row r="128" spans="1:89" x14ac:dyDescent="0.35">
      <c r="A128" t="s">
        <v>30</v>
      </c>
      <c r="B128">
        <v>2022</v>
      </c>
      <c r="C128" t="s">
        <v>38</v>
      </c>
      <c r="D128">
        <v>172.4</v>
      </c>
      <c r="E128" s="2">
        <v>139.2551</v>
      </c>
      <c r="F128">
        <v>176.7</v>
      </c>
      <c r="G128">
        <v>165.5</v>
      </c>
      <c r="H128">
        <v>178.2</v>
      </c>
      <c r="I128">
        <v>173.6</v>
      </c>
      <c r="AD128">
        <v>-0.18237082066869992</v>
      </c>
      <c r="AE128">
        <v>1.0779436152570576</v>
      </c>
      <c r="AF128">
        <v>-2.0384391380314506</v>
      </c>
      <c r="AG128">
        <v>-7.7784325279905655</v>
      </c>
      <c r="AH128">
        <v>1.7704169046259248</v>
      </c>
      <c r="AI128">
        <v>3.8600723763570426</v>
      </c>
      <c r="AJ128">
        <v>-11.389172625127685</v>
      </c>
      <c r="AK128">
        <v>-4.9476135040745053</v>
      </c>
      <c r="AL128">
        <v>-12.313209802749563</v>
      </c>
      <c r="AM128">
        <v>-6.1331775700934585</v>
      </c>
      <c r="AN128">
        <v>-4.820012202562542</v>
      </c>
      <c r="AO128">
        <v>17.338610937768173</v>
      </c>
      <c r="AP128">
        <v>-4.1945288753799428</v>
      </c>
      <c r="AQ128">
        <v>-0.24570024570024918</v>
      </c>
      <c r="AR128">
        <v>-5.1149425287356349</v>
      </c>
      <c r="AS128">
        <v>-5.3624042427813761</v>
      </c>
      <c r="AT128">
        <v>3.1446540880503147</v>
      </c>
      <c r="AU128">
        <v>-4.9397590361445713</v>
      </c>
      <c r="AV128">
        <v>-1.0778443113772522</v>
      </c>
      <c r="BL128" s="2">
        <v>2.1484374999999889</v>
      </c>
      <c r="BM128" s="2">
        <v>-1.8108651911468736</v>
      </c>
      <c r="BN128" s="2">
        <v>-1.9440493124703622</v>
      </c>
      <c r="BO128" s="2">
        <v>-1.5135135135135198</v>
      </c>
      <c r="BP128" s="2">
        <v>0.70019096117122492</v>
      </c>
      <c r="BQ128" s="2">
        <v>-4.0959625511995323</v>
      </c>
      <c r="BR128" s="2">
        <v>-11.909871244635202</v>
      </c>
      <c r="BS128" s="2">
        <v>-0.42501517911353287</v>
      </c>
      <c r="BT128" s="2">
        <v>-1.0371650821089047</v>
      </c>
      <c r="BU128" s="2">
        <v>1.6918429003021218</v>
      </c>
      <c r="BV128" s="2">
        <v>4.8891786179921768</v>
      </c>
      <c r="BW128" s="2">
        <v>-0.74927953890490573</v>
      </c>
      <c r="BX128" s="2">
        <v>-2.3228111971411591</v>
      </c>
      <c r="BY128" s="2">
        <v>6.7409144196951933</v>
      </c>
      <c r="BZ128" s="2">
        <v>3.1032298923369255</v>
      </c>
      <c r="CA128" s="2">
        <v>7.8928823114869537</v>
      </c>
      <c r="CB128" s="2">
        <v>3.7942122186495215</v>
      </c>
      <c r="CC128" s="2">
        <v>3.3842070338420855</v>
      </c>
      <c r="CD128" s="2">
        <v>0</v>
      </c>
      <c r="CE128" s="2">
        <v>2.7116402116402267</v>
      </c>
      <c r="CF128" s="2">
        <v>0.31328320802005016</v>
      </c>
      <c r="CG128" s="2">
        <v>3.4055727554179565</v>
      </c>
      <c r="CH128" s="2">
        <v>1.8091079226450262</v>
      </c>
      <c r="CI128" s="2">
        <v>-2.1994884910485992</v>
      </c>
      <c r="CJ128" s="2">
        <v>2.5806451612903225</v>
      </c>
      <c r="CK128" s="2">
        <v>0.43263288009888046</v>
      </c>
    </row>
    <row r="129" spans="1:89" x14ac:dyDescent="0.35">
      <c r="A129" t="s">
        <v>32</v>
      </c>
      <c r="B129">
        <v>2022</v>
      </c>
      <c r="C129" t="s">
        <v>38</v>
      </c>
      <c r="D129">
        <v>179.3</v>
      </c>
      <c r="E129" s="2">
        <v>166.8</v>
      </c>
      <c r="F129">
        <v>174.9</v>
      </c>
      <c r="G129">
        <v>157.19999999999999</v>
      </c>
      <c r="H129">
        <v>170.9</v>
      </c>
      <c r="I129">
        <v>171.4</v>
      </c>
      <c r="AD129">
        <v>0.1218026796589629</v>
      </c>
      <c r="AE129">
        <v>-0.73831009023790461</v>
      </c>
      <c r="AF129">
        <v>1.3674197384066655</v>
      </c>
      <c r="AG129">
        <v>4.9201277955271498</v>
      </c>
      <c r="AH129">
        <v>-0.95398428731761442</v>
      </c>
      <c r="AI129">
        <v>-2.3228803716608595</v>
      </c>
      <c r="AJ129">
        <v>8.1268011527377482</v>
      </c>
      <c r="AK129">
        <v>3.1843233312920929</v>
      </c>
      <c r="AL129">
        <v>8.1799591002044991</v>
      </c>
      <c r="AM129">
        <v>3.9203484754200448</v>
      </c>
      <c r="AN129">
        <v>2.692307692307685</v>
      </c>
      <c r="AO129">
        <v>0</v>
      </c>
      <c r="AP129">
        <v>1.9035532994923861</v>
      </c>
      <c r="AQ129">
        <v>0.12315270935959891</v>
      </c>
      <c r="AR129">
        <v>3.3313143549364024</v>
      </c>
      <c r="AS129">
        <v>2.3661270236612775</v>
      </c>
      <c r="AT129">
        <v>-2.23577235772358</v>
      </c>
      <c r="AU129">
        <v>2.6615969581748975</v>
      </c>
      <c r="AV129">
        <v>0.60532687651331729</v>
      </c>
      <c r="BL129" s="2">
        <v>2.2307202039515617</v>
      </c>
      <c r="BM129" s="2">
        <v>-1.0245901639344261</v>
      </c>
      <c r="BN129" s="2">
        <v>-2.1760154738878144</v>
      </c>
      <c r="BO129" s="2">
        <v>-3.1284302963776009</v>
      </c>
      <c r="BP129" s="2">
        <v>-0.44247787610618755</v>
      </c>
      <c r="BQ129" s="2">
        <v>-5.0030506406345427</v>
      </c>
      <c r="BR129" s="2">
        <v>-6.2728380024360426</v>
      </c>
      <c r="BS129" s="2">
        <v>-0.73170731707316383</v>
      </c>
      <c r="BT129" s="2">
        <v>0.61135371179039555</v>
      </c>
      <c r="BU129" s="2">
        <v>0.89126559714794995</v>
      </c>
      <c r="BV129" s="2">
        <v>4.1640770665009246</v>
      </c>
      <c r="BW129" s="2">
        <v>-0.17421602787455456</v>
      </c>
      <c r="BX129" s="2">
        <v>-1.3414634146341393</v>
      </c>
      <c r="BY129" s="2">
        <v>4.8325096101043448</v>
      </c>
      <c r="BZ129" s="2">
        <v>2.5798525798525729</v>
      </c>
      <c r="CA129" s="2">
        <v>6.2050947093403011</v>
      </c>
      <c r="CB129" s="2">
        <v>3.0359355638166079</v>
      </c>
      <c r="CC129" s="2">
        <v>3.2734274711168125</v>
      </c>
      <c r="CD129" s="2">
        <v>-13.773931888544894</v>
      </c>
      <c r="CE129" s="2">
        <v>3.7347070186735243</v>
      </c>
      <c r="CF129" s="2">
        <v>0.12492192379763714</v>
      </c>
      <c r="CG129" s="2">
        <v>2.4550898203592779</v>
      </c>
      <c r="CH129" s="2">
        <v>2.6348039215686345</v>
      </c>
      <c r="CI129" s="2">
        <v>-0.52301255230125532</v>
      </c>
      <c r="CJ129" s="2">
        <v>2.7044025157232774</v>
      </c>
      <c r="CK129" s="2">
        <v>0.67692307692307341</v>
      </c>
    </row>
    <row r="130" spans="1:89" x14ac:dyDescent="0.35">
      <c r="A130" t="s">
        <v>33</v>
      </c>
      <c r="B130">
        <v>2022</v>
      </c>
      <c r="C130" t="s">
        <v>38</v>
      </c>
      <c r="D130">
        <v>174.9</v>
      </c>
      <c r="E130" s="2">
        <v>166.8</v>
      </c>
      <c r="F130">
        <v>176</v>
      </c>
      <c r="G130">
        <v>161.1</v>
      </c>
      <c r="H130">
        <v>175.4</v>
      </c>
      <c r="I130">
        <v>172.6</v>
      </c>
      <c r="AD130">
        <v>-0.24330900243309345</v>
      </c>
      <c r="AE130">
        <v>-1.4049586776859528</v>
      </c>
      <c r="AF130">
        <v>1.6422287390029391</v>
      </c>
      <c r="AG130">
        <v>3.4104750304506841</v>
      </c>
      <c r="AH130">
        <v>-0.39660056657223147</v>
      </c>
      <c r="AI130">
        <v>-2.4375743162901276</v>
      </c>
      <c r="AJ130">
        <v>2.6652452025586357</v>
      </c>
      <c r="AK130">
        <v>2.7893175074183909</v>
      </c>
      <c r="AL130">
        <v>6.6792690611216274</v>
      </c>
      <c r="AM130">
        <v>3.4131736526946037</v>
      </c>
      <c r="AN130">
        <v>2.9338327091136192</v>
      </c>
      <c r="AO130">
        <v>-14.776560587515302</v>
      </c>
      <c r="AP130">
        <v>2.6774595267746024</v>
      </c>
      <c r="AQ130">
        <v>0.36900369003689687</v>
      </c>
      <c r="AR130">
        <v>2.4032825322391527</v>
      </c>
      <c r="AS130">
        <v>3.3454987834549881</v>
      </c>
      <c r="AT130">
        <v>-0.88357588357589245</v>
      </c>
      <c r="AU130">
        <v>2.8395061728395028</v>
      </c>
      <c r="AV130">
        <v>0.12033694344164685</v>
      </c>
      <c r="BL130" s="2">
        <v>-3.0236907730673108</v>
      </c>
      <c r="BM130" s="2">
        <v>3.0365769496204318</v>
      </c>
      <c r="BN130" s="2">
        <v>2.5210084033613414</v>
      </c>
      <c r="BO130" s="2">
        <v>-1.3597733711048192</v>
      </c>
      <c r="BP130" s="2">
        <v>0</v>
      </c>
      <c r="BQ130" s="2">
        <v>3.5966602440591031</v>
      </c>
      <c r="BR130" s="2">
        <v>19.103313840155948</v>
      </c>
      <c r="BS130" s="2">
        <v>1.0442260442260372</v>
      </c>
      <c r="BT130" s="2">
        <v>4.5138888888888919</v>
      </c>
      <c r="BU130" s="2">
        <v>-2.120141342756197</v>
      </c>
      <c r="BV130" s="2">
        <v>-7.637231503579943</v>
      </c>
      <c r="BW130" s="2">
        <v>1.8615474112856245</v>
      </c>
      <c r="BX130" s="2">
        <v>3.3992583436341159</v>
      </c>
      <c r="BY130" s="2">
        <v>-8.3289680460974367</v>
      </c>
      <c r="BZ130" s="2">
        <v>-4.3113772455089752</v>
      </c>
      <c r="CA130" s="2">
        <v>-11.685116851168512</v>
      </c>
      <c r="CB130" s="2">
        <v>-5.4119061936259767</v>
      </c>
      <c r="CC130" s="2">
        <v>-4.7855811062772018</v>
      </c>
      <c r="CD130" s="2">
        <v>16.405072417455443</v>
      </c>
      <c r="CE130" s="2">
        <v>-4.59342023587834</v>
      </c>
      <c r="CF130" s="2">
        <v>-0.4366812227074342</v>
      </c>
      <c r="CG130" s="2">
        <v>-4.8509643483342977</v>
      </c>
      <c r="CH130" s="2">
        <v>-4.23880597014925</v>
      </c>
      <c r="CI130" s="2">
        <v>3.3123028391167257</v>
      </c>
      <c r="CJ130" s="2">
        <v>-4.4703000612369941</v>
      </c>
      <c r="CK130" s="2">
        <v>-0.79462102689485514</v>
      </c>
    </row>
    <row r="131" spans="1:89" x14ac:dyDescent="0.35">
      <c r="A131" t="s">
        <v>30</v>
      </c>
      <c r="B131">
        <v>2022</v>
      </c>
      <c r="C131" t="s">
        <v>39</v>
      </c>
      <c r="D131">
        <v>172.5</v>
      </c>
      <c r="E131" s="2">
        <v>139.2551</v>
      </c>
      <c r="F131">
        <v>179.6</v>
      </c>
      <c r="G131">
        <v>166.3</v>
      </c>
      <c r="H131">
        <v>178.8</v>
      </c>
      <c r="I131">
        <v>174.3</v>
      </c>
      <c r="AD131">
        <v>-0.12195121951218818</v>
      </c>
      <c r="AE131">
        <v>1.6764459346186085</v>
      </c>
      <c r="AF131">
        <v>-2.0196191575302942</v>
      </c>
      <c r="AG131">
        <v>-7.7738515901060161</v>
      </c>
      <c r="AH131">
        <v>1.8202502844141002</v>
      </c>
      <c r="AI131">
        <v>3.7781840341255437</v>
      </c>
      <c r="AJ131">
        <v>-11.214953271028035</v>
      </c>
      <c r="AK131">
        <v>-4.9076212471131644</v>
      </c>
      <c r="AL131">
        <v>-12.285883047844068</v>
      </c>
      <c r="AM131">
        <v>-6.0799073537927049</v>
      </c>
      <c r="AN131">
        <v>-4.9120679199514825</v>
      </c>
      <c r="AO131">
        <v>18.128528147263548</v>
      </c>
      <c r="AP131">
        <v>-3.9417828987265007</v>
      </c>
      <c r="AQ131">
        <v>-0.24509803921567236</v>
      </c>
      <c r="AR131">
        <v>-4.9227246708643362</v>
      </c>
      <c r="AS131">
        <v>-5.2383755150088325</v>
      </c>
      <c r="AT131">
        <v>2.9889879391714826</v>
      </c>
      <c r="AU131">
        <v>-4.8019207683073235</v>
      </c>
      <c r="AV131">
        <v>-0.8413461538461573</v>
      </c>
      <c r="BL131" s="2">
        <v>1.7679202828672451</v>
      </c>
      <c r="BM131" s="2">
        <v>-1.808439383791036</v>
      </c>
      <c r="BN131" s="2">
        <v>-1.6393442622950849</v>
      </c>
      <c r="BO131" s="2">
        <v>-0.74669730040205795</v>
      </c>
      <c r="BP131" s="2">
        <v>1.0793650793650722</v>
      </c>
      <c r="BQ131" s="2">
        <v>-2.7898326100433972</v>
      </c>
      <c r="BR131" s="2">
        <v>-11.511183851609395</v>
      </c>
      <c r="BS131" s="2">
        <v>-0.24316109422492746</v>
      </c>
      <c r="BT131" s="2">
        <v>-0.58139534883721167</v>
      </c>
      <c r="BU131" s="2">
        <v>1.5643802647412892</v>
      </c>
      <c r="BV131" s="2">
        <v>5.1033591731266004</v>
      </c>
      <c r="BW131" s="2">
        <v>-0.6853226727584173</v>
      </c>
      <c r="BX131" s="2">
        <v>-1.9725044829647407</v>
      </c>
      <c r="BY131" s="2">
        <v>7.4285714285714288</v>
      </c>
      <c r="BZ131" s="2">
        <v>2.941176470588228</v>
      </c>
      <c r="CA131" s="2">
        <v>8.147632311977727</v>
      </c>
      <c r="CB131" s="2">
        <v>3.7507946598855542</v>
      </c>
      <c r="CC131" s="2">
        <v>2.806788511749355</v>
      </c>
      <c r="CD131" s="2">
        <v>0</v>
      </c>
      <c r="CE131" s="2">
        <v>2.5374105400130165</v>
      </c>
      <c r="CF131" s="2">
        <v>0.25062656641604369</v>
      </c>
      <c r="CG131" s="2">
        <v>3.4398034398034363</v>
      </c>
      <c r="CH131" s="2">
        <v>2.1197007481296795</v>
      </c>
      <c r="CI131" s="2">
        <v>-2.2391857506361355</v>
      </c>
      <c r="CJ131" s="2">
        <v>2.5641025641025639</v>
      </c>
      <c r="CK131" s="2">
        <v>0.55452865064693602</v>
      </c>
    </row>
    <row r="132" spans="1:89" x14ac:dyDescent="0.35">
      <c r="A132" t="s">
        <v>32</v>
      </c>
      <c r="B132">
        <v>2022</v>
      </c>
      <c r="C132" t="s">
        <v>39</v>
      </c>
      <c r="D132">
        <v>179.4</v>
      </c>
      <c r="E132" s="2">
        <v>167.8</v>
      </c>
      <c r="F132">
        <v>179.5</v>
      </c>
      <c r="G132">
        <v>157.4</v>
      </c>
      <c r="H132">
        <v>171.7</v>
      </c>
      <c r="I132">
        <v>172.3</v>
      </c>
      <c r="AD132">
        <v>6.1050061050057579E-2</v>
      </c>
      <c r="AE132">
        <v>-1.0717230008244001</v>
      </c>
      <c r="AF132">
        <v>1.354534746760885</v>
      </c>
      <c r="AG132">
        <v>4.9169859514687211</v>
      </c>
      <c r="AH132">
        <v>-0.94972067039105512</v>
      </c>
      <c r="AI132">
        <v>-2.2900763358778655</v>
      </c>
      <c r="AJ132">
        <v>8.0116959064327418</v>
      </c>
      <c r="AK132">
        <v>3.1572556162720202</v>
      </c>
      <c r="AL132">
        <v>8.2154882154882074</v>
      </c>
      <c r="AM132">
        <v>3.8840937114673317</v>
      </c>
      <c r="AN132">
        <v>2.7423469387754991</v>
      </c>
      <c r="AO132">
        <v>0</v>
      </c>
      <c r="AP132">
        <v>1.7676767676767569</v>
      </c>
      <c r="AQ132">
        <v>0.12285012285011586</v>
      </c>
      <c r="AR132">
        <v>3.1908488862131317</v>
      </c>
      <c r="AS132">
        <v>2.2981366459627259</v>
      </c>
      <c r="AT132">
        <v>-2.1384928716904361</v>
      </c>
      <c r="AU132">
        <v>2.5851197982345488</v>
      </c>
      <c r="AV132">
        <v>0.42424242424241737</v>
      </c>
      <c r="BL132" s="2">
        <v>1.5476942514213445</v>
      </c>
      <c r="BM132" s="2">
        <v>-0.81855388813096097</v>
      </c>
      <c r="BN132" s="2">
        <v>-0.93137254901961064</v>
      </c>
      <c r="BO132" s="2">
        <v>-0.46296296296296952</v>
      </c>
      <c r="BP132" s="2">
        <v>-0.50251256281405965</v>
      </c>
      <c r="BQ132" s="2">
        <v>-2.6147959183673612</v>
      </c>
      <c r="BR132" s="2">
        <v>-6.658446362515404</v>
      </c>
      <c r="BS132" s="2">
        <v>-0.12187690432662317</v>
      </c>
      <c r="BT132" s="2">
        <v>-0.33416875522139156</v>
      </c>
      <c r="BU132" s="2">
        <v>0.77014218009477653</v>
      </c>
      <c r="BV132" s="2">
        <v>3.4419176398279183</v>
      </c>
      <c r="BW132" s="2">
        <v>-0.63254744105807603</v>
      </c>
      <c r="BX132" s="2">
        <v>-1.1585365853658571</v>
      </c>
      <c r="BY132" s="2">
        <v>3.9893617021276597</v>
      </c>
      <c r="BZ132" s="2">
        <v>1.9452887537993853</v>
      </c>
      <c r="CA132" s="2">
        <v>5.3444945267224613</v>
      </c>
      <c r="CB132" s="2">
        <v>2.3897058823529447</v>
      </c>
      <c r="CC132" s="2">
        <v>2.4126984126984197</v>
      </c>
      <c r="CD132" s="2">
        <v>-14.09309068476249</v>
      </c>
      <c r="CE132" s="2">
        <v>3.2360406091370524</v>
      </c>
      <c r="CF132" s="2">
        <v>0.12499999999999289</v>
      </c>
      <c r="CG132" s="2">
        <v>2.0783847980997625</v>
      </c>
      <c r="CH132" s="2">
        <v>2.8693528693528623</v>
      </c>
      <c r="CI132" s="2">
        <v>-0.83289953149401053</v>
      </c>
      <c r="CJ132" s="2">
        <v>2.3750000000000071</v>
      </c>
      <c r="CK132" s="2">
        <v>0.49019607843137958</v>
      </c>
    </row>
    <row r="133" spans="1:89" x14ac:dyDescent="0.35">
      <c r="A133" t="s">
        <v>33</v>
      </c>
      <c r="B133">
        <v>2022</v>
      </c>
      <c r="C133" t="s">
        <v>39</v>
      </c>
      <c r="D133">
        <v>175</v>
      </c>
      <c r="E133" s="2">
        <v>167.8</v>
      </c>
      <c r="F133">
        <v>179.6</v>
      </c>
      <c r="G133">
        <v>161.6</v>
      </c>
      <c r="H133">
        <v>176.1</v>
      </c>
      <c r="I133">
        <v>173.4</v>
      </c>
      <c r="AD133">
        <v>0</v>
      </c>
      <c r="AE133">
        <v>-1.5833333333333379</v>
      </c>
      <c r="AF133">
        <v>1.9174898314933246</v>
      </c>
      <c r="AG133">
        <v>3.7735849056603703</v>
      </c>
      <c r="AH133">
        <v>-0.56401579244218836</v>
      </c>
      <c r="AI133">
        <v>-1.502403846153846</v>
      </c>
      <c r="AJ133">
        <v>4.277206280454795</v>
      </c>
      <c r="AK133">
        <v>2.4720423778693283</v>
      </c>
      <c r="AL133">
        <v>6.4094586185438782</v>
      </c>
      <c r="AM133">
        <v>3.0860534124629013</v>
      </c>
      <c r="AN133">
        <v>2.8553693358162597</v>
      </c>
      <c r="AO133">
        <v>-15.346443768996961</v>
      </c>
      <c r="AP133">
        <v>2.6674937965260619</v>
      </c>
      <c r="AQ133">
        <v>0.92024539877300615</v>
      </c>
      <c r="AR133">
        <v>2.2753792298716484</v>
      </c>
      <c r="AS133">
        <v>3.4001214329083327</v>
      </c>
      <c r="AT133">
        <v>-0.36420395421435414</v>
      </c>
      <c r="AU133">
        <v>2.8272894898586496</v>
      </c>
      <c r="AV133">
        <v>0.6035003017501509</v>
      </c>
      <c r="BL133" s="2">
        <v>-3.172628304821147</v>
      </c>
      <c r="BM133" s="2">
        <v>2.6822558459422323</v>
      </c>
      <c r="BN133" s="2">
        <v>2.6224641266699713</v>
      </c>
      <c r="BO133" s="2">
        <v>1.2209302325581362</v>
      </c>
      <c r="BP133" s="2">
        <v>-0.25252525252525609</v>
      </c>
      <c r="BQ133" s="2">
        <v>5.5664702030124431</v>
      </c>
      <c r="BR133" s="2">
        <v>21.202113606340813</v>
      </c>
      <c r="BS133" s="2">
        <v>0.36607687614398676</v>
      </c>
      <c r="BT133" s="2">
        <v>0.9220452640402419</v>
      </c>
      <c r="BU133" s="2">
        <v>-2.2927689594356293</v>
      </c>
      <c r="BV133" s="2">
        <v>-8.0213903743315509</v>
      </c>
      <c r="BW133" s="2">
        <v>1.3310185185185086</v>
      </c>
      <c r="BX133" s="2">
        <v>3.2078963602714476</v>
      </c>
      <c r="BY133" s="2">
        <v>-10.485933503836318</v>
      </c>
      <c r="BZ133" s="2">
        <v>-4.7107930828860933</v>
      </c>
      <c r="CA133" s="2">
        <v>-12.224938875305625</v>
      </c>
      <c r="CB133" s="2">
        <v>-5.8049072411729439</v>
      </c>
      <c r="CC133" s="2">
        <v>-4.9597024178549285</v>
      </c>
      <c r="CD133" s="2">
        <v>16.405072417455443</v>
      </c>
      <c r="CE133" s="2">
        <v>-5.408727719729554</v>
      </c>
      <c r="CF133" s="2">
        <v>-0.37453183520598898</v>
      </c>
      <c r="CG133" s="2">
        <v>-5.2937754508435102</v>
      </c>
      <c r="CH133" s="2">
        <v>-4.8664688427299634</v>
      </c>
      <c r="CI133" s="2">
        <v>3.1496062992125982</v>
      </c>
      <c r="CJ133" s="2">
        <v>-4.761904761904769</v>
      </c>
      <c r="CK133" s="2">
        <v>-1.0365853658536517</v>
      </c>
    </row>
    <row r="134" spans="1:89" x14ac:dyDescent="0.35">
      <c r="A134" t="s">
        <v>30</v>
      </c>
      <c r="B134">
        <v>2022</v>
      </c>
      <c r="C134" t="s">
        <v>40</v>
      </c>
      <c r="D134">
        <v>173.9</v>
      </c>
      <c r="E134" s="2">
        <v>139.2551</v>
      </c>
      <c r="F134">
        <v>179.1</v>
      </c>
      <c r="G134">
        <v>166.6</v>
      </c>
      <c r="H134">
        <v>179.4</v>
      </c>
      <c r="I134">
        <v>175.3</v>
      </c>
      <c r="AD134">
        <v>-0.42708968883466564</v>
      </c>
      <c r="AE134">
        <v>2.1168501270110074</v>
      </c>
      <c r="AF134">
        <v>-1.8244013683010361</v>
      </c>
      <c r="AG134">
        <v>-8.093841642228746</v>
      </c>
      <c r="AH134">
        <v>2.0986954055587002</v>
      </c>
      <c r="AI134">
        <v>3.8438071995118865</v>
      </c>
      <c r="AJ134">
        <v>-10.95534787123572</v>
      </c>
      <c r="AK134">
        <v>-4.8248133256749028</v>
      </c>
      <c r="AL134">
        <v>-12.04678362573099</v>
      </c>
      <c r="AM134">
        <v>-5.9297639608520347</v>
      </c>
      <c r="AN134">
        <v>-5.0090525045262426</v>
      </c>
      <c r="AO134">
        <v>18.846634701350258</v>
      </c>
      <c r="AP134">
        <v>-3.6253776435045322</v>
      </c>
      <c r="AQ134">
        <v>-0.18237082066869992</v>
      </c>
      <c r="AR134">
        <v>-4.6206503137478734</v>
      </c>
      <c r="AS134">
        <v>-4.8737522019964832</v>
      </c>
      <c r="AT134">
        <v>2.610966057441253</v>
      </c>
      <c r="AU134">
        <v>-4.7220561864913355</v>
      </c>
      <c r="AV134">
        <v>-0.71985602879423438</v>
      </c>
      <c r="BL134" s="2">
        <v>1.7025377449405754</v>
      </c>
      <c r="BM134" s="2">
        <v>-1.808439383791036</v>
      </c>
      <c r="BN134" s="2">
        <v>-1.6393442622950849</v>
      </c>
      <c r="BO134" s="2">
        <v>-0.74669730040205795</v>
      </c>
      <c r="BP134" s="2">
        <v>0.696202531645566</v>
      </c>
      <c r="BQ134" s="2">
        <v>-2.7915632754342434</v>
      </c>
      <c r="BR134" s="2">
        <v>-11.553133514986371</v>
      </c>
      <c r="BS134" s="2">
        <v>-0.24316109422492746</v>
      </c>
      <c r="BT134" s="2">
        <v>-0.58139534883721167</v>
      </c>
      <c r="BU134" s="2">
        <v>1.5643802647412892</v>
      </c>
      <c r="BV134" s="2">
        <v>5.1033591731266004</v>
      </c>
      <c r="BW134" s="2">
        <v>-0.6853226727584173</v>
      </c>
      <c r="BX134" s="2">
        <v>-1.9725044829647407</v>
      </c>
      <c r="BY134" s="2">
        <v>7.4285714285714288</v>
      </c>
      <c r="BZ134" s="2">
        <v>3.0037546933666976</v>
      </c>
      <c r="CA134" s="2">
        <v>8.147632311977727</v>
      </c>
      <c r="CB134" s="2">
        <v>3.7484116899618845</v>
      </c>
      <c r="CC134" s="2">
        <v>2.7397260273972526</v>
      </c>
      <c r="CD134" s="2">
        <v>0</v>
      </c>
      <c r="CE134" s="2">
        <v>2.4691358024691246</v>
      </c>
      <c r="CF134" s="2">
        <v>0.25062656641604369</v>
      </c>
      <c r="CG134" s="2">
        <v>3.4398034398034363</v>
      </c>
      <c r="CH134" s="2">
        <v>2.1210230817217575</v>
      </c>
      <c r="CI134" s="2">
        <v>-2.2391857506361355</v>
      </c>
      <c r="CJ134" s="2">
        <v>2.5641025641025639</v>
      </c>
      <c r="CK134" s="2">
        <v>0.55452865064693602</v>
      </c>
    </row>
    <row r="135" spans="1:89" x14ac:dyDescent="0.35">
      <c r="A135" t="s">
        <v>32</v>
      </c>
      <c r="B135">
        <v>2022</v>
      </c>
      <c r="C135" t="s">
        <v>40</v>
      </c>
      <c r="D135">
        <v>180.4</v>
      </c>
      <c r="E135" s="2">
        <v>169</v>
      </c>
      <c r="F135">
        <v>178.4</v>
      </c>
      <c r="G135">
        <v>157.69999999999999</v>
      </c>
      <c r="H135">
        <v>172.6</v>
      </c>
      <c r="I135">
        <v>173.1</v>
      </c>
      <c r="AD135">
        <v>0.30637254901960786</v>
      </c>
      <c r="AE135">
        <v>-1.409618573797669</v>
      </c>
      <c r="AF135">
        <v>1.2195121951219645</v>
      </c>
      <c r="AG135">
        <v>5.1052967453733249</v>
      </c>
      <c r="AH135">
        <v>-1.1111111111111112</v>
      </c>
      <c r="AI135">
        <v>-2.3501762632197414</v>
      </c>
      <c r="AJ135">
        <v>7.8134110787172046</v>
      </c>
      <c r="AK135">
        <v>3.0778515389257834</v>
      </c>
      <c r="AL135">
        <v>7.9787234042553186</v>
      </c>
      <c r="AM135">
        <v>3.7943696450428326</v>
      </c>
      <c r="AN135">
        <v>2.7954256670902193</v>
      </c>
      <c r="AO135">
        <v>0</v>
      </c>
      <c r="AP135">
        <v>1.6300940438871439</v>
      </c>
      <c r="AQ135">
        <v>0.1218026796589629</v>
      </c>
      <c r="AR135">
        <v>2.9904306220095696</v>
      </c>
      <c r="AS135">
        <v>2.098765432098769</v>
      </c>
      <c r="AT135">
        <v>-1.8829516539440145</v>
      </c>
      <c r="AU135">
        <v>2.5721455457967344</v>
      </c>
      <c r="AV135">
        <v>0.36253776435044976</v>
      </c>
      <c r="BL135" s="2">
        <v>2.6531901452937388</v>
      </c>
      <c r="BM135" s="2">
        <v>-0.34106412005457026</v>
      </c>
      <c r="BN135" s="2">
        <v>-0.73529411764705876</v>
      </c>
      <c r="BO135" s="2">
        <v>-1.5625000000000098</v>
      </c>
      <c r="BP135" s="2">
        <v>-0.43997485857950264</v>
      </c>
      <c r="BQ135" s="2">
        <v>-2.6164645820038257</v>
      </c>
      <c r="BR135" s="2">
        <v>4.9907578558225465</v>
      </c>
      <c r="BS135" s="2">
        <v>0.67032297379646211</v>
      </c>
      <c r="BT135" s="2">
        <v>1.5873015873015803</v>
      </c>
      <c r="BU135" s="2">
        <v>1.0663507109004637</v>
      </c>
      <c r="BV135" s="2">
        <v>3.7492317148125531</v>
      </c>
      <c r="BW135" s="2">
        <v>-0.17251293847039181</v>
      </c>
      <c r="BX135" s="2">
        <v>0.91463414634146334</v>
      </c>
      <c r="BY135" s="2">
        <v>5.7446808510638361</v>
      </c>
      <c r="BZ135" s="2">
        <v>2.612393681652498</v>
      </c>
      <c r="CA135" s="2">
        <v>6.117192530585962</v>
      </c>
      <c r="CB135" s="2">
        <v>3.0618493570116345</v>
      </c>
      <c r="CC135" s="2">
        <v>2.8571428571428572</v>
      </c>
      <c r="CD135" s="2">
        <v>-14.09309068476249</v>
      </c>
      <c r="CE135" s="2">
        <v>3.487634749524414</v>
      </c>
      <c r="CF135" s="2">
        <v>0.68749999999999645</v>
      </c>
      <c r="CG135" s="2">
        <v>2.4346793349168614</v>
      </c>
      <c r="CH135" s="2">
        <v>3.237629810629207</v>
      </c>
      <c r="CI135" s="2">
        <v>-0.46850598646538555</v>
      </c>
      <c r="CJ135" s="2">
        <v>2.9374999999999929</v>
      </c>
      <c r="CK135" s="2">
        <v>1.8995098039215828</v>
      </c>
    </row>
    <row r="136" spans="1:89" x14ac:dyDescent="0.35">
      <c r="A136" t="s">
        <v>33</v>
      </c>
      <c r="B136">
        <v>2022</v>
      </c>
      <c r="C136" t="s">
        <v>40</v>
      </c>
      <c r="D136">
        <v>176.3</v>
      </c>
      <c r="E136" s="2">
        <v>169</v>
      </c>
      <c r="F136">
        <v>178.8</v>
      </c>
      <c r="G136">
        <v>161.9</v>
      </c>
      <c r="H136">
        <v>176.8</v>
      </c>
      <c r="I136">
        <v>174.3</v>
      </c>
      <c r="AD136">
        <v>0.30543677458766039</v>
      </c>
      <c r="AE136">
        <v>-0.6728343145500516</v>
      </c>
      <c r="AF136">
        <v>2.5243832472748005</v>
      </c>
      <c r="AG136">
        <v>3.9465695203400126</v>
      </c>
      <c r="AH136">
        <v>-0.33707865168539008</v>
      </c>
      <c r="AI136">
        <v>0.24067388688327659</v>
      </c>
      <c r="AJ136">
        <v>9.843158464034607</v>
      </c>
      <c r="AK136">
        <v>2.6932084309133453</v>
      </c>
      <c r="AL136">
        <v>6.6502463054187082</v>
      </c>
      <c r="AM136">
        <v>3.2429245283018866</v>
      </c>
      <c r="AN136">
        <v>2.9048207663782377</v>
      </c>
      <c r="AO136">
        <v>-15.857945619335348</v>
      </c>
      <c r="AP136">
        <v>2.7760641579272058</v>
      </c>
      <c r="AQ136">
        <v>1.824817518248175</v>
      </c>
      <c r="AR136">
        <v>2.2067363530778232</v>
      </c>
      <c r="AS136">
        <v>3.1438935912938262</v>
      </c>
      <c r="AT136">
        <v>-0.25933609958506221</v>
      </c>
      <c r="AU136">
        <v>2.9357798165137687</v>
      </c>
      <c r="AV136">
        <v>1.5653220951234164</v>
      </c>
      <c r="BL136" s="2">
        <v>-3.2615384615384686</v>
      </c>
      <c r="BM136" s="2">
        <v>2.7378507871321016</v>
      </c>
      <c r="BN136" s="2">
        <v>2.913580246913583</v>
      </c>
      <c r="BO136" s="2">
        <v>1.704879482657264</v>
      </c>
      <c r="BP136" s="2">
        <v>0</v>
      </c>
      <c r="BQ136" s="2">
        <v>4.390563564875503</v>
      </c>
      <c r="BR136" s="2">
        <v>25.821596244131456</v>
      </c>
      <c r="BS136" s="2">
        <v>6.0532687651345493E-2</v>
      </c>
      <c r="BT136" s="2">
        <v>0.74013157894737314</v>
      </c>
      <c r="BU136" s="2">
        <v>-2.227432590855793</v>
      </c>
      <c r="BV136" s="2">
        <v>-7.9383886255924203</v>
      </c>
      <c r="BW136" s="2">
        <v>1.3248847926267346</v>
      </c>
      <c r="BX136" s="2">
        <v>3.6253776435045322</v>
      </c>
      <c r="BY136" s="2">
        <v>-11.167002012072443</v>
      </c>
      <c r="BZ136" s="2">
        <v>-4.795737122557723</v>
      </c>
      <c r="CA136" s="2">
        <v>-12.378640776699031</v>
      </c>
      <c r="CB136" s="2">
        <v>-5.9417706476530006</v>
      </c>
      <c r="CC136" s="2">
        <v>-4.75308641975308</v>
      </c>
      <c r="CD136" s="2">
        <v>17.482232248585504</v>
      </c>
      <c r="CE136" s="2">
        <v>-4.9632352941176441</v>
      </c>
      <c r="CF136" s="2">
        <v>-0.49658597144629607</v>
      </c>
      <c r="CG136" s="2">
        <v>-5.2173913043478262</v>
      </c>
      <c r="CH136" s="2">
        <v>-5.1479289940828332</v>
      </c>
      <c r="CI136" s="2">
        <v>3.0334728033472866</v>
      </c>
      <c r="CJ136" s="2">
        <v>-4.6751669702489309</v>
      </c>
      <c r="CK136" s="2">
        <v>-1.0222489476849168</v>
      </c>
    </row>
    <row r="137" spans="1:89" x14ac:dyDescent="0.35">
      <c r="A137" t="s">
        <v>30</v>
      </c>
      <c r="B137">
        <v>2022</v>
      </c>
      <c r="C137" t="s">
        <v>41</v>
      </c>
      <c r="D137">
        <v>175.5</v>
      </c>
      <c r="E137" s="2">
        <v>139.2551</v>
      </c>
      <c r="F137">
        <v>179.7</v>
      </c>
      <c r="G137">
        <v>166.9</v>
      </c>
      <c r="H137">
        <v>180.2</v>
      </c>
      <c r="I137">
        <v>176.4</v>
      </c>
      <c r="AD137">
        <v>-0.48721071863579962</v>
      </c>
      <c r="AE137">
        <v>1.862828111769689</v>
      </c>
      <c r="AF137">
        <v>-2.2383883603805264</v>
      </c>
      <c r="AG137">
        <v>-8.2359813084112119</v>
      </c>
      <c r="AH137">
        <v>2.3111612175873697</v>
      </c>
      <c r="AI137">
        <v>2.9411764705882386</v>
      </c>
      <c r="AJ137">
        <v>-11.373707533234857</v>
      </c>
      <c r="AK137">
        <v>-4.7320410490307934</v>
      </c>
      <c r="AL137">
        <v>-11.893764434180136</v>
      </c>
      <c r="AM137">
        <v>-5.8252427184465958</v>
      </c>
      <c r="AN137">
        <v>-4.7447447447447475</v>
      </c>
      <c r="AO137">
        <v>18.703013390532924</v>
      </c>
      <c r="AP137">
        <v>-3.481392557022799</v>
      </c>
      <c r="AQ137">
        <v>-0.35842293906809691</v>
      </c>
      <c r="AR137">
        <v>-4.4318181818181879</v>
      </c>
      <c r="AS137">
        <v>-4.6307151230949621</v>
      </c>
      <c r="AT137">
        <v>2.7041081643265672</v>
      </c>
      <c r="AU137">
        <v>-4.5751633986928208</v>
      </c>
      <c r="AV137">
        <v>-1.3040901007705921</v>
      </c>
      <c r="BL137" s="2">
        <v>1.7493638676844785</v>
      </c>
      <c r="BM137" s="2">
        <v>-1.7988007994670145</v>
      </c>
      <c r="BN137" s="2">
        <v>-1.8234165067178558</v>
      </c>
      <c r="BO137" s="2">
        <v>-1.0404624277456713</v>
      </c>
      <c r="BP137" s="2">
        <v>0.5050505050504942</v>
      </c>
      <c r="BQ137" s="2">
        <v>-2.2598870056497318</v>
      </c>
      <c r="BR137" s="2">
        <v>-13.572761194029848</v>
      </c>
      <c r="BS137" s="2">
        <v>-6.0496067755609638E-2</v>
      </c>
      <c r="BT137" s="2">
        <v>-0.48979591836734232</v>
      </c>
      <c r="BU137" s="2">
        <v>1.4988009592326137</v>
      </c>
      <c r="BV137" s="2">
        <v>5.0193050193050075</v>
      </c>
      <c r="BW137" s="2">
        <v>-0.6822057987492991</v>
      </c>
      <c r="BX137" s="2">
        <v>-2.215743440233243</v>
      </c>
      <c r="BY137" s="2">
        <v>7.9275198187995475</v>
      </c>
      <c r="BZ137" s="2">
        <v>3.0472636815920255</v>
      </c>
      <c r="CA137" s="2">
        <v>8.2409972299168999</v>
      </c>
      <c r="CB137" s="2">
        <v>3.7902716361339226</v>
      </c>
      <c r="CC137" s="2">
        <v>2.6571613739468529</v>
      </c>
      <c r="CD137" s="2">
        <v>0</v>
      </c>
      <c r="CE137" s="2">
        <v>2.256608639587363</v>
      </c>
      <c r="CF137" s="2">
        <v>0.31191515907673112</v>
      </c>
      <c r="CG137" s="2">
        <v>3.4250764525993849</v>
      </c>
      <c r="CH137" s="2">
        <v>2.2457891453524605</v>
      </c>
      <c r="CI137" s="2">
        <v>-2.1827411167512749</v>
      </c>
      <c r="CJ137" s="2">
        <v>2.547770700636943</v>
      </c>
      <c r="CK137" s="2">
        <v>0.5467800729040132</v>
      </c>
    </row>
    <row r="138" spans="1:89" x14ac:dyDescent="0.35">
      <c r="A138" t="s">
        <v>32</v>
      </c>
      <c r="B138">
        <v>2022</v>
      </c>
      <c r="C138" t="s">
        <v>41</v>
      </c>
      <c r="D138">
        <v>181.8</v>
      </c>
      <c r="E138" s="2">
        <v>169.5</v>
      </c>
      <c r="F138">
        <v>179.2</v>
      </c>
      <c r="G138">
        <v>158.19999999999999</v>
      </c>
      <c r="H138">
        <v>173.8</v>
      </c>
      <c r="I138">
        <v>174.1</v>
      </c>
      <c r="AD138">
        <v>0.30599755201958384</v>
      </c>
      <c r="AE138">
        <v>-1.2468827930174564</v>
      </c>
      <c r="AF138">
        <v>1.5455065827132324</v>
      </c>
      <c r="AG138">
        <v>5.2196053469128056</v>
      </c>
      <c r="AH138">
        <v>-1.2121212121212059</v>
      </c>
      <c r="AI138">
        <v>-1.8075801749271103</v>
      </c>
      <c r="AJ138">
        <v>8.1111111111111072</v>
      </c>
      <c r="AK138">
        <v>2.9922202274087373</v>
      </c>
      <c r="AL138">
        <v>7.8636959370904327</v>
      </c>
      <c r="AM138">
        <v>3.7598544572468091</v>
      </c>
      <c r="AN138">
        <v>2.6481715006305278</v>
      </c>
      <c r="AO138">
        <v>0</v>
      </c>
      <c r="AP138">
        <v>1.5547263681592038</v>
      </c>
      <c r="AQ138">
        <v>0.23980815347720458</v>
      </c>
      <c r="AR138">
        <v>2.8537455410225991</v>
      </c>
      <c r="AS138">
        <v>2.0282728948985933</v>
      </c>
      <c r="AT138">
        <v>-1.924050632911398</v>
      </c>
      <c r="AU138">
        <v>2.4906600249066004</v>
      </c>
      <c r="AV138">
        <v>0.72072072072071391</v>
      </c>
      <c r="BL138" s="2">
        <v>1.3441700531416281</v>
      </c>
      <c r="BM138" s="2">
        <v>-0.33921302578018991</v>
      </c>
      <c r="BN138" s="2">
        <v>-2.3460410557184668</v>
      </c>
      <c r="BO138" s="2">
        <v>0.17523364485981974</v>
      </c>
      <c r="BP138" s="2">
        <v>-0.314070351758794</v>
      </c>
      <c r="BQ138" s="2">
        <v>-1.605651894669236</v>
      </c>
      <c r="BR138" s="2">
        <v>-0.75553157042633867</v>
      </c>
      <c r="BS138" s="2">
        <v>0.12106537530267376</v>
      </c>
      <c r="BT138" s="2">
        <v>0.16406890894174619</v>
      </c>
      <c r="BU138" s="2">
        <v>0.88600118133490835</v>
      </c>
      <c r="BV138" s="2">
        <v>3.6151960784313761</v>
      </c>
      <c r="BW138" s="2">
        <v>-0.22896393817972371</v>
      </c>
      <c r="BX138" s="2">
        <v>-0.11926058437685667</v>
      </c>
      <c r="BY138" s="2">
        <v>4.092339979013647</v>
      </c>
      <c r="BZ138" s="2">
        <v>2.8364514182257197</v>
      </c>
      <c r="CA138" s="2">
        <v>6.2060140754958342</v>
      </c>
      <c r="CB138" s="2">
        <v>3.347534996956786</v>
      </c>
      <c r="CC138" s="2">
        <v>2.8409090909090908</v>
      </c>
      <c r="CD138" s="2">
        <v>-14.88074572127139</v>
      </c>
      <c r="CE138" s="2">
        <v>3.2786885245901747</v>
      </c>
      <c r="CF138" s="2">
        <v>0.99502487562188691</v>
      </c>
      <c r="CG138" s="2">
        <v>2.5428740390301665</v>
      </c>
      <c r="CH138" s="2">
        <v>3.2946918852959155</v>
      </c>
      <c r="CI138" s="2">
        <v>-0.67462376751426212</v>
      </c>
      <c r="CJ138" s="2">
        <v>2.608695652173906</v>
      </c>
      <c r="CK138" s="2">
        <v>1.2688821752265826</v>
      </c>
    </row>
    <row r="139" spans="1:89" x14ac:dyDescent="0.35">
      <c r="A139" t="s">
        <v>33</v>
      </c>
      <c r="B139">
        <v>2022</v>
      </c>
      <c r="C139" t="s">
        <v>41</v>
      </c>
      <c r="D139">
        <v>177.8</v>
      </c>
      <c r="E139" s="2">
        <v>169.5</v>
      </c>
      <c r="F139">
        <v>179.5</v>
      </c>
      <c r="G139">
        <v>162.30000000000001</v>
      </c>
      <c r="H139">
        <v>177.8</v>
      </c>
      <c r="I139">
        <v>175.3</v>
      </c>
      <c r="AD139">
        <v>0.73215375228797352</v>
      </c>
      <c r="AE139">
        <v>-0.5050505050505002</v>
      </c>
      <c r="AF139">
        <v>3.1003382187147688</v>
      </c>
      <c r="AG139">
        <v>4.2952208106473044</v>
      </c>
      <c r="AH139">
        <v>-0.22308979364194401</v>
      </c>
      <c r="AI139">
        <v>0.11876484560569395</v>
      </c>
      <c r="AJ139">
        <v>6.5775950668037053</v>
      </c>
      <c r="AK139">
        <v>3.1377106333527056</v>
      </c>
      <c r="AL139">
        <v>6.3791008505467799</v>
      </c>
      <c r="AM139">
        <v>3.5067212156633545</v>
      </c>
      <c r="AN139">
        <v>3.0098280098279955</v>
      </c>
      <c r="AO139">
        <v>-15.756140350877198</v>
      </c>
      <c r="AP139">
        <v>2.3882424984690611</v>
      </c>
      <c r="AQ139">
        <v>1.0765550239234518</v>
      </c>
      <c r="AR139">
        <v>2.3121387283236992</v>
      </c>
      <c r="AS139">
        <v>2.951807228915666</v>
      </c>
      <c r="AT139">
        <v>-0.46463603510582202</v>
      </c>
      <c r="AU139">
        <v>3.4021871202916132</v>
      </c>
      <c r="AV139">
        <v>1.8485390578413969</v>
      </c>
      <c r="BL139" s="2">
        <v>-3.5163479333744876</v>
      </c>
      <c r="BM139" s="2">
        <v>2.7910142954390702</v>
      </c>
      <c r="BN139" s="2">
        <v>2.5525525525525494</v>
      </c>
      <c r="BO139" s="2">
        <v>2.2740524781341143</v>
      </c>
      <c r="BP139" s="2">
        <v>0.25204788909893239</v>
      </c>
      <c r="BQ139" s="2">
        <v>4.63446475195824</v>
      </c>
      <c r="BR139" s="2">
        <v>24.578575312669923</v>
      </c>
      <c r="BS139" s="2">
        <v>-0.18137847642080493</v>
      </c>
      <c r="BT139" s="2">
        <v>0.819000819000819</v>
      </c>
      <c r="BU139" s="2">
        <v>-2.107728337236547</v>
      </c>
      <c r="BV139" s="2">
        <v>-7.6877587226493196</v>
      </c>
      <c r="BW139" s="2">
        <v>1.4343086632243258</v>
      </c>
      <c r="BX139" s="2">
        <v>3.5820895522388061</v>
      </c>
      <c r="BY139" s="2">
        <v>-11.391129032258061</v>
      </c>
      <c r="BZ139" s="2">
        <v>-4.7535211267605595</v>
      </c>
      <c r="CA139" s="2">
        <v>-12.469879518072283</v>
      </c>
      <c r="CB139" s="2">
        <v>-5.9481743227326396</v>
      </c>
      <c r="CC139" s="2">
        <v>-4.7268262737876103</v>
      </c>
      <c r="CD139" s="2">
        <v>17.913096181037528</v>
      </c>
      <c r="CE139" s="2">
        <v>-4.3345543345543485</v>
      </c>
      <c r="CF139" s="2">
        <v>-0.36945812807881423</v>
      </c>
      <c r="CG139" s="2">
        <v>-5.3056516724336884</v>
      </c>
      <c r="CH139" s="2">
        <v>-5.0206733608978142</v>
      </c>
      <c r="CI139" s="2">
        <v>2.9258098223615434</v>
      </c>
      <c r="CJ139" s="2">
        <v>-4.7820823244551924</v>
      </c>
      <c r="CK139" s="2">
        <v>-1.1933174224343674</v>
      </c>
    </row>
    <row r="140" spans="1:89" x14ac:dyDescent="0.35">
      <c r="A140" t="s">
        <v>30</v>
      </c>
      <c r="B140">
        <v>2022</v>
      </c>
      <c r="C140" t="s">
        <v>42</v>
      </c>
      <c r="D140">
        <v>177.4</v>
      </c>
      <c r="E140" s="2">
        <v>139.2551</v>
      </c>
      <c r="F140">
        <v>180.8</v>
      </c>
      <c r="G140">
        <v>167.4</v>
      </c>
      <c r="H140">
        <v>181.2</v>
      </c>
      <c r="I140">
        <v>177.9</v>
      </c>
      <c r="AD140">
        <v>-0.66626287098727699</v>
      </c>
      <c r="AE140">
        <v>1.9458544839255476</v>
      </c>
      <c r="AF140">
        <v>-2.6790595954073293</v>
      </c>
      <c r="AG140">
        <v>-8.6426914153132284</v>
      </c>
      <c r="AH140">
        <v>2.4594745667970965</v>
      </c>
      <c r="AI140">
        <v>3.4994068801898015</v>
      </c>
      <c r="AJ140">
        <v>-10.318225650916107</v>
      </c>
      <c r="AK140">
        <v>-5.1267605633802784</v>
      </c>
      <c r="AL140">
        <v>-11.764705882352938</v>
      </c>
      <c r="AM140">
        <v>-6.0982495765104368</v>
      </c>
      <c r="AN140">
        <v>-4.7107930828860933</v>
      </c>
      <c r="AO140">
        <v>19.923794532480319</v>
      </c>
      <c r="AP140">
        <v>-2.9904306220095696</v>
      </c>
      <c r="AQ140">
        <v>-0.35502958579881322</v>
      </c>
      <c r="AR140">
        <v>-4.5197740112994351</v>
      </c>
      <c r="AS140">
        <v>-4.0374488004681126</v>
      </c>
      <c r="AT140">
        <v>2.2302904564315265</v>
      </c>
      <c r="AU140">
        <v>-4.1715628672150382</v>
      </c>
      <c r="AV140">
        <v>-0.93676814988291712</v>
      </c>
      <c r="BL140" s="2">
        <v>1.8861892583120499</v>
      </c>
      <c r="BM140" s="2">
        <v>-1.8543046357615969</v>
      </c>
      <c r="BN140" s="2">
        <v>-1.6105417276720408</v>
      </c>
      <c r="BO140" s="2">
        <v>-1.3683010262257729</v>
      </c>
      <c r="BP140" s="2">
        <v>0.31426775612822128</v>
      </c>
      <c r="BQ140" s="2">
        <v>-2.3705552089831636</v>
      </c>
      <c r="BR140" s="2">
        <v>-13.051069402007858</v>
      </c>
      <c r="BS140" s="2">
        <v>0.12113870381587952</v>
      </c>
      <c r="BT140" s="2">
        <v>-0.56864337936635956</v>
      </c>
      <c r="BU140" s="2">
        <v>1.4354066985645968</v>
      </c>
      <c r="BV140" s="2">
        <v>4.8686739269698878</v>
      </c>
      <c r="BW140" s="2">
        <v>-0.7352941176470652</v>
      </c>
      <c r="BX140" s="2">
        <v>-2.1902017291066347</v>
      </c>
      <c r="BY140" s="2">
        <v>8.134243458475531</v>
      </c>
      <c r="BZ140" s="2">
        <v>3.0191004313000471</v>
      </c>
      <c r="CA140" s="2">
        <v>8.3275980729525081</v>
      </c>
      <c r="CB140" s="2">
        <v>3.819661865998762</v>
      </c>
      <c r="CC140" s="2">
        <v>2.6417525773196027</v>
      </c>
      <c r="CD140" s="2">
        <v>0</v>
      </c>
      <c r="CE140" s="2">
        <v>1.9783024888321781</v>
      </c>
      <c r="CF140" s="2">
        <v>0.24721878862792165</v>
      </c>
      <c r="CG140" s="2">
        <v>3.471376370280157</v>
      </c>
      <c r="CH140" s="2">
        <v>2.1766169154228852</v>
      </c>
      <c r="CI140" s="2">
        <v>-2.0812182741116723</v>
      </c>
      <c r="CJ140" s="2">
        <v>2.6064844246662391</v>
      </c>
      <c r="CK140" s="2">
        <v>0.66425120772946522</v>
      </c>
    </row>
    <row r="141" spans="1:89" x14ac:dyDescent="0.35">
      <c r="A141" t="s">
        <v>32</v>
      </c>
      <c r="B141">
        <v>2022</v>
      </c>
      <c r="C141" t="s">
        <v>42</v>
      </c>
      <c r="D141">
        <v>183.3</v>
      </c>
      <c r="E141" s="2">
        <v>171.2</v>
      </c>
      <c r="F141">
        <v>180</v>
      </c>
      <c r="G141">
        <v>158.80000000000001</v>
      </c>
      <c r="H141">
        <v>174.7</v>
      </c>
      <c r="I141">
        <v>175.3</v>
      </c>
      <c r="AD141">
        <v>0.42682926829267603</v>
      </c>
      <c r="AE141">
        <v>-1.2448132780082988</v>
      </c>
      <c r="AF141">
        <v>1.8539325842696692</v>
      </c>
      <c r="AG141">
        <v>5.5238095238095166</v>
      </c>
      <c r="AH141">
        <v>-1.30932896890344</v>
      </c>
      <c r="AI141">
        <v>-2.1203438395415408</v>
      </c>
      <c r="AJ141">
        <v>7.2580645161290329</v>
      </c>
      <c r="AK141">
        <v>3.2660332541567696</v>
      </c>
      <c r="AL141">
        <v>7.7669902912621351</v>
      </c>
      <c r="AM141">
        <v>3.908598917618761</v>
      </c>
      <c r="AN141">
        <v>2.6282853566958626</v>
      </c>
      <c r="AO141">
        <v>0</v>
      </c>
      <c r="AP141">
        <v>1.356350184956854</v>
      </c>
      <c r="AQ141">
        <v>0.23752969121140477</v>
      </c>
      <c r="AR141">
        <v>2.9585798816568047</v>
      </c>
      <c r="AS141">
        <v>1.7682926829268326</v>
      </c>
      <c r="AT141">
        <v>-1.6235413495687412</v>
      </c>
      <c r="AU141">
        <v>2.2685469037400474</v>
      </c>
      <c r="AV141">
        <v>0.5319148936170246</v>
      </c>
      <c r="BL141" s="2">
        <v>2.1964229683087364</v>
      </c>
      <c r="BM141" s="2">
        <v>-0.53981106612684415</v>
      </c>
      <c r="BN141" s="2">
        <v>-2.281746031746029</v>
      </c>
      <c r="BO141" s="2">
        <v>2.0231213872832372</v>
      </c>
      <c r="BP141" s="2">
        <v>-0.18796992481201941</v>
      </c>
      <c r="BQ141" s="2">
        <v>-2.8753993610223643</v>
      </c>
      <c r="BR141" s="2">
        <v>-13.504016064257019</v>
      </c>
      <c r="BS141" s="2">
        <v>-0.48396854204477391</v>
      </c>
      <c r="BT141" s="2">
        <v>-1.4705882352941269</v>
      </c>
      <c r="BU141" s="2">
        <v>1.2382075471698082</v>
      </c>
      <c r="BV141" s="2">
        <v>3.6652412950519242</v>
      </c>
      <c r="BW141" s="2">
        <v>-0.22792022792023114</v>
      </c>
      <c r="BX141" s="2">
        <v>-2.2981732469062921</v>
      </c>
      <c r="BY141" s="2">
        <v>2.998421883219367</v>
      </c>
      <c r="BZ141" s="2">
        <v>2.7511961722488176</v>
      </c>
      <c r="CA141" s="2">
        <v>6.2897077509529904</v>
      </c>
      <c r="CB141" s="2">
        <v>3.2569360675512526</v>
      </c>
      <c r="CC141" s="2">
        <v>2.8876333961079683</v>
      </c>
      <c r="CD141" s="2">
        <v>-15.191778319123014</v>
      </c>
      <c r="CE141" s="2">
        <v>2.941176470588228</v>
      </c>
      <c r="CF141" s="2">
        <v>0.36991368680642589</v>
      </c>
      <c r="CG141" s="2">
        <v>2.4131842260152996</v>
      </c>
      <c r="CH141" s="2">
        <v>3.2866707242848308</v>
      </c>
      <c r="CI141" s="2">
        <v>-1.0886469673405881</v>
      </c>
      <c r="CJ141" s="2">
        <v>2.8500619578686459</v>
      </c>
      <c r="CK141" s="2">
        <v>0.17996400719856712</v>
      </c>
    </row>
    <row r="142" spans="1:89" x14ac:dyDescent="0.35">
      <c r="A142" t="s">
        <v>33</v>
      </c>
      <c r="B142">
        <v>2022</v>
      </c>
      <c r="C142" t="s">
        <v>42</v>
      </c>
      <c r="D142">
        <v>179.6</v>
      </c>
      <c r="E142" s="2">
        <v>171.2</v>
      </c>
      <c r="F142">
        <v>180.5</v>
      </c>
      <c r="G142">
        <v>162.9</v>
      </c>
      <c r="H142">
        <v>178.7</v>
      </c>
      <c r="I142">
        <v>176.7</v>
      </c>
      <c r="AD142">
        <v>0.18214936247723826</v>
      </c>
      <c r="AE142">
        <v>-8.403361344537337E-2</v>
      </c>
      <c r="AF142">
        <v>2.9233314947600566</v>
      </c>
      <c r="AG142">
        <v>4.2117930204572804</v>
      </c>
      <c r="AH142">
        <v>-0.2763957987838585</v>
      </c>
      <c r="AI142">
        <v>0</v>
      </c>
      <c r="AJ142">
        <v>5.2130325814536365</v>
      </c>
      <c r="AK142">
        <v>3.1052328924669381</v>
      </c>
      <c r="AL142">
        <v>6.4264264264264197</v>
      </c>
      <c r="AM142">
        <v>3.5879629629629561</v>
      </c>
      <c r="AN142">
        <v>2.987804878048784</v>
      </c>
      <c r="AO142">
        <v>-16.6137125748503</v>
      </c>
      <c r="AP142">
        <v>1.9464720194647134</v>
      </c>
      <c r="AQ142">
        <v>-0.17772511848341904</v>
      </c>
      <c r="AR142">
        <v>2.1264367816091889</v>
      </c>
      <c r="AS142">
        <v>2.935889754343922</v>
      </c>
      <c r="AT142">
        <v>-0.51572975760701389</v>
      </c>
      <c r="AU142">
        <v>2.4580335731414835</v>
      </c>
      <c r="AV142">
        <v>1.4109347442680811</v>
      </c>
      <c r="BL142" s="2">
        <v>-3.7457783236106814</v>
      </c>
      <c r="BM142" s="2">
        <v>2.849389416553588</v>
      </c>
      <c r="BN142" s="2">
        <v>2.6395939086294358</v>
      </c>
      <c r="BO142" s="2">
        <v>1.9830028328611897</v>
      </c>
      <c r="BP142" s="2">
        <v>0.31387319522912743</v>
      </c>
      <c r="BQ142" s="2">
        <v>4.1447368421052708</v>
      </c>
      <c r="BR142" s="2">
        <v>27.394080092861277</v>
      </c>
      <c r="BS142" s="2">
        <v>-0.18237082066869992</v>
      </c>
      <c r="BT142" s="2">
        <v>1.0779436152570576</v>
      </c>
      <c r="BU142" s="2">
        <v>-2.0384391380314506</v>
      </c>
      <c r="BV142" s="2">
        <v>-7.7784325279905655</v>
      </c>
      <c r="BW142" s="2">
        <v>1.7704169046259248</v>
      </c>
      <c r="BX142" s="2">
        <v>3.8600723763570426</v>
      </c>
      <c r="BY142" s="2">
        <v>-11.389172625127685</v>
      </c>
      <c r="BZ142" s="2">
        <v>-4.9476135040745053</v>
      </c>
      <c r="CA142" s="2">
        <v>-12.313209802749563</v>
      </c>
      <c r="CB142" s="2">
        <v>-6.1331775700934585</v>
      </c>
      <c r="CC142" s="2">
        <v>-4.820012202562542</v>
      </c>
      <c r="CD142" s="2">
        <v>17.338610937768173</v>
      </c>
      <c r="CE142" s="2">
        <v>-4.1945288753799428</v>
      </c>
      <c r="CF142" s="2">
        <v>-0.24570024570024918</v>
      </c>
      <c r="CG142" s="2">
        <v>-5.1149425287356349</v>
      </c>
      <c r="CH142" s="2">
        <v>-5.3624042427813761</v>
      </c>
      <c r="CI142" s="2">
        <v>3.1446540880503147</v>
      </c>
      <c r="CJ142" s="2">
        <v>-4.9397590361445713</v>
      </c>
      <c r="CK142" s="2">
        <v>-1.0778443113772522</v>
      </c>
    </row>
    <row r="143" spans="1:89" x14ac:dyDescent="0.35">
      <c r="A143" t="s">
        <v>30</v>
      </c>
      <c r="B143">
        <v>2022</v>
      </c>
      <c r="C143" t="s">
        <v>44</v>
      </c>
      <c r="D143">
        <v>176.6</v>
      </c>
      <c r="E143" s="2">
        <v>139.2551</v>
      </c>
      <c r="F143">
        <v>181.9</v>
      </c>
      <c r="G143">
        <v>167.5</v>
      </c>
      <c r="H143">
        <v>182.3</v>
      </c>
      <c r="I143">
        <v>177.8</v>
      </c>
      <c r="AD143">
        <v>-0.54545454545454886</v>
      </c>
      <c r="AE143">
        <v>1.9343986543313683</v>
      </c>
      <c r="AF143">
        <v>-2.7867095391211087</v>
      </c>
      <c r="AG143">
        <v>-8.4872979214780546</v>
      </c>
      <c r="AH143">
        <v>2.4944567627494458</v>
      </c>
      <c r="AI143">
        <v>3.9227166276346539</v>
      </c>
      <c r="AJ143">
        <v>-9.7189137684611744</v>
      </c>
      <c r="AK143">
        <v>-5.186837702175132</v>
      </c>
      <c r="AL143">
        <v>-12.020316027088027</v>
      </c>
      <c r="AM143">
        <v>-6.2569832402234571</v>
      </c>
      <c r="AN143">
        <v>-4.6181172291296688</v>
      </c>
      <c r="AO143">
        <v>20.282847809523673</v>
      </c>
      <c r="AP143">
        <v>-2.625298329355612</v>
      </c>
      <c r="AQ143">
        <v>-0.17804154302671296</v>
      </c>
      <c r="AR143">
        <v>-4.2768711311198624</v>
      </c>
      <c r="AS143">
        <v>-3.8416763678696286</v>
      </c>
      <c r="AT143">
        <v>2.3846552617936725</v>
      </c>
      <c r="AU143">
        <v>-4.1544763019309503</v>
      </c>
      <c r="AV143">
        <v>-0.98550724637680498</v>
      </c>
      <c r="BL143" s="2">
        <v>2.0095693779904158</v>
      </c>
      <c r="BM143" s="2">
        <v>-1.9129287598944629</v>
      </c>
      <c r="BN143" s="2">
        <v>-1.6815034619188811</v>
      </c>
      <c r="BO143" s="2">
        <v>-1.1666666666666634</v>
      </c>
      <c r="BP143" s="2">
        <v>0.12515644555693906</v>
      </c>
      <c r="BQ143" s="2">
        <v>-2.1478205938092265</v>
      </c>
      <c r="BR143" s="2">
        <v>-14.214123006833706</v>
      </c>
      <c r="BS143" s="2">
        <v>0.1218026796589629</v>
      </c>
      <c r="BT143" s="2">
        <v>-0.73831009023790461</v>
      </c>
      <c r="BU143" s="2">
        <v>1.3674197384066655</v>
      </c>
      <c r="BV143" s="2">
        <v>4.9201277955271498</v>
      </c>
      <c r="BW143" s="2">
        <v>-0.95398428731761442</v>
      </c>
      <c r="BX143" s="2">
        <v>-2.3228803716608595</v>
      </c>
      <c r="BY143" s="2">
        <v>8.1268011527377482</v>
      </c>
      <c r="BZ143" s="2">
        <v>3.1843233312920929</v>
      </c>
      <c r="CA143" s="2">
        <v>8.1799591002044991</v>
      </c>
      <c r="CB143" s="2">
        <v>3.9203484754200448</v>
      </c>
      <c r="CC143" s="2">
        <v>2.692307692307685</v>
      </c>
      <c r="CD143" s="2">
        <v>0</v>
      </c>
      <c r="CE143" s="2">
        <v>1.9035532994923861</v>
      </c>
      <c r="CF143" s="2">
        <v>0.12315270935959891</v>
      </c>
      <c r="CG143" s="2">
        <v>3.3313143549364024</v>
      </c>
      <c r="CH143" s="2">
        <v>2.3661270236612775</v>
      </c>
      <c r="CI143" s="2">
        <v>-2.23577235772358</v>
      </c>
      <c r="CJ143" s="2">
        <v>2.6615969581748975</v>
      </c>
      <c r="CK143" s="2">
        <v>0.60532687651331729</v>
      </c>
    </row>
    <row r="144" spans="1:89" x14ac:dyDescent="0.35">
      <c r="A144" t="s">
        <v>32</v>
      </c>
      <c r="B144">
        <v>2022</v>
      </c>
      <c r="C144" t="s">
        <v>44</v>
      </c>
      <c r="D144">
        <v>181.3</v>
      </c>
      <c r="E144" s="2">
        <v>171.8</v>
      </c>
      <c r="F144">
        <v>180.3</v>
      </c>
      <c r="G144">
        <v>158.9</v>
      </c>
      <c r="H144">
        <v>175.8</v>
      </c>
      <c r="I144">
        <v>174.1</v>
      </c>
      <c r="AD144">
        <v>0.36563071297988686</v>
      </c>
      <c r="AE144">
        <v>-1.2376237623762376</v>
      </c>
      <c r="AF144">
        <v>1.9294377067254687</v>
      </c>
      <c r="AG144">
        <v>5.4258675078864318</v>
      </c>
      <c r="AH144">
        <v>-1.2979989183342378</v>
      </c>
      <c r="AI144">
        <v>-2.3661971830985848</v>
      </c>
      <c r="AJ144">
        <v>6.8073878627968361</v>
      </c>
      <c r="AK144">
        <v>3.2941176470588203</v>
      </c>
      <c r="AL144">
        <v>8.0179602309172537</v>
      </c>
      <c r="AM144">
        <v>4.0524433849821104</v>
      </c>
      <c r="AN144">
        <v>2.5450031036623182</v>
      </c>
      <c r="AO144">
        <v>0</v>
      </c>
      <c r="AP144">
        <v>1.1642156862745132</v>
      </c>
      <c r="AQ144">
        <v>0.11890606420928482</v>
      </c>
      <c r="AR144">
        <v>2.7630805408583288</v>
      </c>
      <c r="AS144">
        <v>1.6343825665859668</v>
      </c>
      <c r="AT144">
        <v>-1.7215189873417751</v>
      </c>
      <c r="AU144">
        <v>2.2588522588522517</v>
      </c>
      <c r="AV144">
        <v>0.52693208430912009</v>
      </c>
      <c r="BL144" s="2">
        <v>2.1263289555972698</v>
      </c>
      <c r="BM144" s="2">
        <v>-0.26899798251511586</v>
      </c>
      <c r="BN144" s="2">
        <v>-0.95573440643863461</v>
      </c>
      <c r="BO144" s="2">
        <v>5.6211354693644917E-2</v>
      </c>
      <c r="BP144" s="2">
        <v>-6.2499999999996447E-2</v>
      </c>
      <c r="BQ144" s="2">
        <v>-2.3886378308586296</v>
      </c>
      <c r="BR144" s="2">
        <v>-15.454062665958586</v>
      </c>
      <c r="BS144" s="2">
        <v>-0.24330900243309345</v>
      </c>
      <c r="BT144" s="2">
        <v>-1.4049586776859528</v>
      </c>
      <c r="BU144" s="2">
        <v>1.6422287390029391</v>
      </c>
      <c r="BV144" s="2">
        <v>3.4104750304506841</v>
      </c>
      <c r="BW144" s="2">
        <v>-0.39660056657223147</v>
      </c>
      <c r="BX144" s="2">
        <v>-2.4375743162901276</v>
      </c>
      <c r="BY144" s="2">
        <v>2.6652452025586357</v>
      </c>
      <c r="BZ144" s="2">
        <v>2.7893175074183909</v>
      </c>
      <c r="CA144" s="2">
        <v>6.6792690611216274</v>
      </c>
      <c r="CB144" s="2">
        <v>3.4131736526946037</v>
      </c>
      <c r="CC144" s="2">
        <v>2.9338327091136192</v>
      </c>
      <c r="CD144" s="2">
        <v>-14.776560587515302</v>
      </c>
      <c r="CE144" s="2">
        <v>2.6774595267746024</v>
      </c>
      <c r="CF144" s="2">
        <v>0.36900369003689687</v>
      </c>
      <c r="CG144" s="2">
        <v>2.4032825322391527</v>
      </c>
      <c r="CH144" s="2">
        <v>3.3454987834549881</v>
      </c>
      <c r="CI144" s="2">
        <v>-0.88357588357589245</v>
      </c>
      <c r="CJ144" s="2">
        <v>2.8395061728395028</v>
      </c>
      <c r="CK144" s="2">
        <v>0.12033694344164685</v>
      </c>
    </row>
    <row r="145" spans="1:89" x14ac:dyDescent="0.35">
      <c r="A145" t="s">
        <v>33</v>
      </c>
      <c r="B145">
        <v>2022</v>
      </c>
      <c r="C145" t="s">
        <v>44</v>
      </c>
      <c r="D145">
        <v>178.3</v>
      </c>
      <c r="E145" s="2">
        <v>171.8</v>
      </c>
      <c r="F145">
        <v>181.3</v>
      </c>
      <c r="G145">
        <v>163</v>
      </c>
      <c r="H145">
        <v>179.8</v>
      </c>
      <c r="I145">
        <v>176.5</v>
      </c>
      <c r="AD145">
        <v>-6.0716454159073667E-2</v>
      </c>
      <c r="AE145">
        <v>-0.50125313283208728</v>
      </c>
      <c r="AF145">
        <v>2.1633315305570577</v>
      </c>
      <c r="AG145">
        <v>4.2489527229204036</v>
      </c>
      <c r="AH145">
        <v>-0.32876712328766811</v>
      </c>
      <c r="AI145">
        <v>-0.51933064050779321</v>
      </c>
      <c r="AJ145">
        <v>2.8162055335968321</v>
      </c>
      <c r="AK145">
        <v>2.9043280182232314</v>
      </c>
      <c r="AL145">
        <v>6.1163895486935766</v>
      </c>
      <c r="AM145">
        <v>3.3218785796105452</v>
      </c>
      <c r="AN145">
        <v>3.0871670702179315</v>
      </c>
      <c r="AO145">
        <v>-16.862626865671643</v>
      </c>
      <c r="AP145">
        <v>1.7565112053301066</v>
      </c>
      <c r="AQ145">
        <v>0.65320665083135054</v>
      </c>
      <c r="AR145">
        <v>1.9450800915331676</v>
      </c>
      <c r="AS145">
        <v>2.7992852888624116</v>
      </c>
      <c r="AT145">
        <v>-0.61823802163832497</v>
      </c>
      <c r="AU145">
        <v>2.0895522388059704</v>
      </c>
      <c r="AV145">
        <v>1.1065812463599336</v>
      </c>
      <c r="BL145" s="2">
        <v>-3.7660747091243318</v>
      </c>
      <c r="BM145" s="2">
        <v>2.6298044504382849</v>
      </c>
      <c r="BN145" s="2">
        <v>2.6409344845098977</v>
      </c>
      <c r="BO145" s="2">
        <v>1.1797752808988733</v>
      </c>
      <c r="BP145" s="2">
        <v>0.37523452157598142</v>
      </c>
      <c r="BQ145" s="2">
        <v>3.5052910052910127</v>
      </c>
      <c r="BR145" s="2">
        <v>27.88944723618091</v>
      </c>
      <c r="BS145" s="2">
        <v>-0.12195121951218818</v>
      </c>
      <c r="BT145" s="2">
        <v>1.6764459346186085</v>
      </c>
      <c r="BU145" s="2">
        <v>-2.0196191575302942</v>
      </c>
      <c r="BV145" s="2">
        <v>-7.7738515901060161</v>
      </c>
      <c r="BW145" s="2">
        <v>1.8202502844141002</v>
      </c>
      <c r="BX145" s="2">
        <v>3.7781840341255437</v>
      </c>
      <c r="BY145" s="2">
        <v>-11.214953271028035</v>
      </c>
      <c r="BZ145" s="2">
        <v>-4.9076212471131644</v>
      </c>
      <c r="CA145" s="2">
        <v>-12.285883047844068</v>
      </c>
      <c r="CB145" s="2">
        <v>-6.0799073537927049</v>
      </c>
      <c r="CC145" s="2">
        <v>-4.9120679199514825</v>
      </c>
      <c r="CD145" s="2">
        <v>18.128528147263548</v>
      </c>
      <c r="CE145" s="2">
        <v>-3.9417828987265007</v>
      </c>
      <c r="CF145" s="2">
        <v>-0.24509803921567236</v>
      </c>
      <c r="CG145" s="2">
        <v>-4.9227246708643362</v>
      </c>
      <c r="CH145" s="2">
        <v>-5.2383755150088325</v>
      </c>
      <c r="CI145" s="2">
        <v>2.9889879391714826</v>
      </c>
      <c r="CJ145" s="2">
        <v>-4.8019207683073235</v>
      </c>
      <c r="CK145" s="2">
        <v>-0.8413461538461573</v>
      </c>
    </row>
    <row r="146" spans="1:89" x14ac:dyDescent="0.35">
      <c r="A146" t="s">
        <v>30</v>
      </c>
      <c r="B146">
        <v>2022</v>
      </c>
      <c r="C146" t="s">
        <v>45</v>
      </c>
      <c r="D146">
        <v>174.4</v>
      </c>
      <c r="E146" s="2">
        <v>139.2551</v>
      </c>
      <c r="F146">
        <v>182.8</v>
      </c>
      <c r="G146">
        <v>167.8</v>
      </c>
      <c r="H146">
        <v>183.5</v>
      </c>
      <c r="I146">
        <v>177.1</v>
      </c>
      <c r="AD146">
        <v>-0.60753341433778862</v>
      </c>
      <c r="AE146">
        <v>1.9311502938707066</v>
      </c>
      <c r="AF146">
        <v>-2.8586553732133435</v>
      </c>
      <c r="AG146">
        <v>-8.66819747416762</v>
      </c>
      <c r="AH146">
        <v>2.4189114898295796</v>
      </c>
      <c r="AI146">
        <v>4.0023201856148525</v>
      </c>
      <c r="AJ146">
        <v>-9.3704949543488709</v>
      </c>
      <c r="AK146">
        <v>-5.0359712230215798</v>
      </c>
      <c r="AL146">
        <v>-11.919418019026292</v>
      </c>
      <c r="AM146">
        <v>-6.0975609756097562</v>
      </c>
      <c r="AN146">
        <v>-4.8150322959483365</v>
      </c>
      <c r="AO146">
        <v>19.780173221662984</v>
      </c>
      <c r="AP146">
        <v>-2.3214285714285752</v>
      </c>
      <c r="AQ146">
        <v>-0.17699115044248456</v>
      </c>
      <c r="AR146">
        <v>-4.0965207631874199</v>
      </c>
      <c r="AS146">
        <v>-3.5341830822711437</v>
      </c>
      <c r="AT146">
        <v>2.7993779160186656</v>
      </c>
      <c r="AU146">
        <v>-4.2105263157894672</v>
      </c>
      <c r="AV146">
        <v>-1.2672811059907769</v>
      </c>
      <c r="BL146" s="2">
        <v>2.0362710785873479</v>
      </c>
      <c r="BM146" s="2">
        <v>-1.7739816031537379</v>
      </c>
      <c r="BN146" s="2">
        <v>-1.6823354774863957</v>
      </c>
      <c r="BO146" s="2">
        <v>-0.72182121043863567</v>
      </c>
      <c r="BP146" s="2">
        <v>-6.2305295950152217E-2</v>
      </c>
      <c r="BQ146" s="2">
        <v>-1.7891373801917008</v>
      </c>
      <c r="BR146" s="2">
        <v>-14.390962671905688</v>
      </c>
      <c r="BS146" s="2">
        <v>6.1050061050057579E-2</v>
      </c>
      <c r="BT146" s="2">
        <v>-1.0717230008244001</v>
      </c>
      <c r="BU146" s="2">
        <v>1.354534746760885</v>
      </c>
      <c r="BV146" s="2">
        <v>4.9169859514687211</v>
      </c>
      <c r="BW146" s="2">
        <v>-0.94972067039105512</v>
      </c>
      <c r="BX146" s="2">
        <v>-2.2900763358778655</v>
      </c>
      <c r="BY146" s="2">
        <v>8.0116959064327418</v>
      </c>
      <c r="BZ146" s="2">
        <v>3.1572556162720202</v>
      </c>
      <c r="CA146" s="2">
        <v>8.2154882154882074</v>
      </c>
      <c r="CB146" s="2">
        <v>3.8840937114673317</v>
      </c>
      <c r="CC146" s="2">
        <v>2.7423469387754991</v>
      </c>
      <c r="CD146" s="2">
        <v>0</v>
      </c>
      <c r="CE146" s="2">
        <v>1.7676767676767569</v>
      </c>
      <c r="CF146" s="2">
        <v>0.12285012285011586</v>
      </c>
      <c r="CG146" s="2">
        <v>3.1908488862131317</v>
      </c>
      <c r="CH146" s="2">
        <v>2.2981366459627259</v>
      </c>
      <c r="CI146" s="2">
        <v>-2.1384928716904361</v>
      </c>
      <c r="CJ146" s="2">
        <v>2.5851197982345488</v>
      </c>
      <c r="CK146" s="2">
        <v>0.42424242424241737</v>
      </c>
    </row>
    <row r="147" spans="1:89" x14ac:dyDescent="0.35">
      <c r="A147" t="s">
        <v>32</v>
      </c>
      <c r="B147">
        <v>2022</v>
      </c>
      <c r="C147" t="s">
        <v>45</v>
      </c>
      <c r="D147">
        <v>178.6</v>
      </c>
      <c r="E147" s="2">
        <v>170.7</v>
      </c>
      <c r="F147">
        <v>180.6</v>
      </c>
      <c r="G147">
        <v>159.4</v>
      </c>
      <c r="H147">
        <v>177.2</v>
      </c>
      <c r="I147">
        <v>174.1</v>
      </c>
      <c r="AD147">
        <v>0.42787286063570729</v>
      </c>
      <c r="AE147">
        <v>-1.2355848434925865</v>
      </c>
      <c r="AF147">
        <v>1.9618528610354193</v>
      </c>
      <c r="AG147">
        <v>5.5311125078567009</v>
      </c>
      <c r="AH147">
        <v>-1.2882447665056391</v>
      </c>
      <c r="AI147">
        <v>-2.4539877300613528</v>
      </c>
      <c r="AJ147">
        <v>6.5217391304347894</v>
      </c>
      <c r="AK147">
        <v>3.2051282051282057</v>
      </c>
      <c r="AL147">
        <v>7.941550190597205</v>
      </c>
      <c r="AM147">
        <v>3.8961038961038925</v>
      </c>
      <c r="AN147">
        <v>2.6526835286860035</v>
      </c>
      <c r="AO147">
        <v>0</v>
      </c>
      <c r="AP147">
        <v>1.0359536867763663</v>
      </c>
      <c r="AQ147">
        <v>0.11820330969268147</v>
      </c>
      <c r="AR147">
        <v>2.6331187829139848</v>
      </c>
      <c r="AS147">
        <v>1.5015015015015014</v>
      </c>
      <c r="AT147">
        <v>-2.0171457387796266</v>
      </c>
      <c r="AU147">
        <v>2.2588522588522517</v>
      </c>
      <c r="AV147">
        <v>0.70011668611434574</v>
      </c>
      <c r="BL147" s="2">
        <v>2.4633613969441952</v>
      </c>
      <c r="BM147" s="2">
        <v>-0.4682274247491563</v>
      </c>
      <c r="BN147" s="2">
        <v>-0.30196275792651955</v>
      </c>
      <c r="BO147" s="2">
        <v>-1.8456375838926238</v>
      </c>
      <c r="BP147" s="2">
        <v>6.2344139650869268E-2</v>
      </c>
      <c r="BQ147" s="2">
        <v>-1.4964216005204836</v>
      </c>
      <c r="BR147" s="2">
        <v>-10.958118187033863</v>
      </c>
      <c r="BS147" s="2">
        <v>0</v>
      </c>
      <c r="BT147" s="2">
        <v>-1.5833333333333379</v>
      </c>
      <c r="BU147" s="2">
        <v>1.9174898314933246</v>
      </c>
      <c r="BV147" s="2">
        <v>3.7735849056603703</v>
      </c>
      <c r="BW147" s="2">
        <v>-0.56401579244218836</v>
      </c>
      <c r="BX147" s="2">
        <v>-1.502403846153846</v>
      </c>
      <c r="BY147" s="2">
        <v>4.277206280454795</v>
      </c>
      <c r="BZ147" s="2">
        <v>2.4720423778693283</v>
      </c>
      <c r="CA147" s="2">
        <v>6.4094586185438782</v>
      </c>
      <c r="CB147" s="2">
        <v>3.0860534124629013</v>
      </c>
      <c r="CC147" s="2">
        <v>2.8553693358162597</v>
      </c>
      <c r="CD147" s="2">
        <v>-15.346443768996961</v>
      </c>
      <c r="CE147" s="2">
        <v>2.6674937965260619</v>
      </c>
      <c r="CF147" s="2">
        <v>0.92024539877300615</v>
      </c>
      <c r="CG147" s="2">
        <v>2.2753792298716484</v>
      </c>
      <c r="CH147" s="2">
        <v>3.4001214329083327</v>
      </c>
      <c r="CI147" s="2">
        <v>-0.36420395421435414</v>
      </c>
      <c r="CJ147" s="2">
        <v>2.8272894898586496</v>
      </c>
      <c r="CK147" s="2">
        <v>0.6035003017501509</v>
      </c>
    </row>
    <row r="148" spans="1:89" x14ac:dyDescent="0.35">
      <c r="A148" t="s">
        <v>33</v>
      </c>
      <c r="B148">
        <v>2022</v>
      </c>
      <c r="C148" t="s">
        <v>45</v>
      </c>
      <c r="D148">
        <v>175.9</v>
      </c>
      <c r="E148" s="2">
        <v>170.7</v>
      </c>
      <c r="F148">
        <v>182</v>
      </c>
      <c r="G148">
        <v>163.4</v>
      </c>
      <c r="H148">
        <v>181.1</v>
      </c>
      <c r="I148">
        <v>175.7</v>
      </c>
      <c r="AD148">
        <v>6.0864272671938099E-2</v>
      </c>
      <c r="AE148">
        <v>-0.5838198498748981</v>
      </c>
      <c r="AF148">
        <v>2.5120256547300999</v>
      </c>
      <c r="AG148">
        <v>3.930911256700413</v>
      </c>
      <c r="AH148">
        <v>-0.4350190320826598</v>
      </c>
      <c r="AI148">
        <v>-1.3722126929674132</v>
      </c>
      <c r="AJ148">
        <v>0.64708810353408808</v>
      </c>
      <c r="AK148">
        <v>2.7667984189723356</v>
      </c>
      <c r="AL148">
        <v>6.1212477928193083</v>
      </c>
      <c r="AM148">
        <v>3.2386363636363575</v>
      </c>
      <c r="AN148">
        <v>2.9447115384615419</v>
      </c>
      <c r="AO148">
        <v>-16.513729016786577</v>
      </c>
      <c r="AP148">
        <v>1.6887816646562019</v>
      </c>
      <c r="AQ148">
        <v>0.17709563164107611</v>
      </c>
      <c r="AR148">
        <v>1.9384264538198435</v>
      </c>
      <c r="AS148">
        <v>3.3727810650887506</v>
      </c>
      <c r="AT148">
        <v>-0.56613484302625972</v>
      </c>
      <c r="AU148">
        <v>2.5671641791044841</v>
      </c>
      <c r="AV148">
        <v>0.98493626882967389</v>
      </c>
      <c r="BL148" s="2">
        <v>-3.8040170419963477</v>
      </c>
      <c r="BM148" s="2">
        <v>2.4865591397849385</v>
      </c>
      <c r="BN148" s="2">
        <v>3.5840484603735456</v>
      </c>
      <c r="BO148" s="2">
        <v>0.51282051282051599</v>
      </c>
      <c r="BP148" s="2">
        <v>0.12461059190030443</v>
      </c>
      <c r="BQ148" s="2">
        <v>3.3025099075297222</v>
      </c>
      <c r="BR148" s="2">
        <v>27.577319587628875</v>
      </c>
      <c r="BS148" s="2">
        <v>-0.42708968883466564</v>
      </c>
      <c r="BT148" s="2">
        <v>2.1168501270110074</v>
      </c>
      <c r="BU148" s="2">
        <v>-1.8244013683010361</v>
      </c>
      <c r="BV148" s="2">
        <v>-8.093841642228746</v>
      </c>
      <c r="BW148" s="2">
        <v>2.0986954055587002</v>
      </c>
      <c r="BX148" s="2">
        <v>3.8438071995118865</v>
      </c>
      <c r="BY148" s="2">
        <v>-10.95534787123572</v>
      </c>
      <c r="BZ148" s="2">
        <v>-4.8248133256749028</v>
      </c>
      <c r="CA148" s="2">
        <v>-12.04678362573099</v>
      </c>
      <c r="CB148" s="2">
        <v>-5.9297639608520347</v>
      </c>
      <c r="CC148" s="2">
        <v>-5.0090525045262426</v>
      </c>
      <c r="CD148" s="2">
        <v>18.846634701350258</v>
      </c>
      <c r="CE148" s="2">
        <v>-3.6253776435045322</v>
      </c>
      <c r="CF148" s="2">
        <v>-0.18237082066869992</v>
      </c>
      <c r="CG148" s="2">
        <v>-4.6206503137478734</v>
      </c>
      <c r="CH148" s="2">
        <v>-4.8737522019964832</v>
      </c>
      <c r="CI148" s="2">
        <v>2.610966057441253</v>
      </c>
      <c r="CJ148" s="2">
        <v>-4.7220561864913355</v>
      </c>
      <c r="CK148" s="2">
        <v>-0.71985602879423438</v>
      </c>
    </row>
    <row r="149" spans="1:89" x14ac:dyDescent="0.35">
      <c r="AD149">
        <v>-0.24330900243309345</v>
      </c>
      <c r="AE149">
        <v>1.9295302013422795</v>
      </c>
      <c r="AF149">
        <v>-2.8675703858185608</v>
      </c>
      <c r="AG149">
        <v>-8.4240687679083042</v>
      </c>
      <c r="AH149">
        <v>2.5122883670125584</v>
      </c>
      <c r="AI149">
        <v>4.0000000000000036</v>
      </c>
      <c r="AJ149">
        <v>-8.6053412462907897</v>
      </c>
      <c r="AK149">
        <v>-5.1098901098901157</v>
      </c>
      <c r="AL149">
        <v>-11.980033277870227</v>
      </c>
      <c r="AM149">
        <v>-6.1089708310401729</v>
      </c>
      <c r="AN149">
        <v>-4.7869235259778264</v>
      </c>
      <c r="AO149">
        <v>20.498279775749694</v>
      </c>
      <c r="AP149">
        <v>-2.3724792408066429</v>
      </c>
      <c r="AQ149">
        <v>5.8927519151457122E-2</v>
      </c>
      <c r="AR149">
        <v>-3.9709172259507959</v>
      </c>
      <c r="AS149">
        <v>-3.2054951345163105</v>
      </c>
      <c r="AT149">
        <v>2.7950310559006244</v>
      </c>
      <c r="AU149">
        <v>-4.1327124563446</v>
      </c>
      <c r="AV149">
        <v>-1.1474469305794606</v>
      </c>
      <c r="BL149" s="2">
        <v>2.0563112938943373</v>
      </c>
      <c r="BM149" s="2">
        <v>-1.639344262295082</v>
      </c>
      <c r="BN149" s="2">
        <v>-2.241715399610134</v>
      </c>
      <c r="BO149" s="2">
        <v>-0.34013605442176548</v>
      </c>
      <c r="BP149" s="2">
        <v>-6.2227753578092293E-2</v>
      </c>
      <c r="BQ149" s="2">
        <v>-1.7263427109974534</v>
      </c>
      <c r="BR149" s="2">
        <v>-14.292929292929299</v>
      </c>
      <c r="BS149" s="2">
        <v>0.30637254901960786</v>
      </c>
      <c r="BT149" s="2">
        <v>-1.409618573797669</v>
      </c>
      <c r="BU149" s="2">
        <v>1.2195121951219645</v>
      </c>
      <c r="BV149" s="2">
        <v>5.1052967453733249</v>
      </c>
      <c r="BW149" s="2">
        <v>-1.1111111111111112</v>
      </c>
      <c r="BX149" s="2">
        <v>-2.3501762632197414</v>
      </c>
      <c r="BY149" s="2">
        <v>7.8134110787172046</v>
      </c>
      <c r="BZ149" s="2">
        <v>3.0778515389257834</v>
      </c>
      <c r="CA149" s="2">
        <v>7.9787234042553186</v>
      </c>
      <c r="CB149" s="2">
        <v>3.7943696450428326</v>
      </c>
      <c r="CC149" s="2">
        <v>2.7954256670902193</v>
      </c>
      <c r="CD149" s="2">
        <v>0</v>
      </c>
      <c r="CE149" s="2">
        <v>1.6300940438871439</v>
      </c>
      <c r="CF149" s="2">
        <v>0.1218026796589629</v>
      </c>
      <c r="CG149" s="2">
        <v>2.9904306220095696</v>
      </c>
      <c r="CH149" s="2">
        <v>2.098765432098769</v>
      </c>
      <c r="CI149" s="2">
        <v>-1.8829516539440145</v>
      </c>
      <c r="CJ149" s="2">
        <v>2.5721455457967344</v>
      </c>
      <c r="CK149" s="2">
        <v>0.36253776435044976</v>
      </c>
    </row>
    <row r="150" spans="1:89" x14ac:dyDescent="0.35">
      <c r="AD150">
        <v>0.18292682926829962</v>
      </c>
      <c r="AE150">
        <v>-1.2345679012345678</v>
      </c>
      <c r="AF150">
        <v>1.9860440150295162</v>
      </c>
      <c r="AG150">
        <v>5.3817271589486824</v>
      </c>
      <c r="AH150">
        <v>-1.3319126265316996</v>
      </c>
      <c r="AI150">
        <v>-2.4526198439241949</v>
      </c>
      <c r="AJ150">
        <v>5.9523809523809517</v>
      </c>
      <c r="AK150">
        <v>3.2426172553561221</v>
      </c>
      <c r="AL150">
        <v>7.9395085066162716</v>
      </c>
      <c r="AM150">
        <v>3.9273153575615574</v>
      </c>
      <c r="AN150">
        <v>2.6364193746168065</v>
      </c>
      <c r="AO150">
        <v>0</v>
      </c>
      <c r="AP150">
        <v>1.0328068043742511</v>
      </c>
      <c r="AQ150">
        <v>-5.8892815076574047E-2</v>
      </c>
      <c r="AR150">
        <v>2.562609202096684</v>
      </c>
      <c r="AS150">
        <v>1.360141927853348</v>
      </c>
      <c r="AT150">
        <v>-2.0140986908358509</v>
      </c>
      <c r="AU150">
        <v>2.2465088038858636</v>
      </c>
      <c r="AV150">
        <v>0.63842135809634026</v>
      </c>
      <c r="BL150" s="2">
        <v>2.5728456292622299</v>
      </c>
      <c r="BM150" s="2">
        <v>0.13333333333332575</v>
      </c>
      <c r="BN150" s="2">
        <v>3.6889332003988065</v>
      </c>
      <c r="BO150" s="2">
        <v>-4.4937428896473293</v>
      </c>
      <c r="BP150" s="2">
        <v>6.2266500622661473E-2</v>
      </c>
      <c r="BQ150" s="2">
        <v>1.4313597918022234</v>
      </c>
      <c r="BR150" s="2">
        <v>-8.1909251620506645</v>
      </c>
      <c r="BS150" s="2">
        <v>0.30543677458766039</v>
      </c>
      <c r="BT150" s="2">
        <v>-0.6728343145500516</v>
      </c>
      <c r="BU150" s="2">
        <v>2.5243832472748005</v>
      </c>
      <c r="BV150" s="2">
        <v>3.9465695203400126</v>
      </c>
      <c r="BW150" s="2">
        <v>-0.33707865168539008</v>
      </c>
      <c r="BX150" s="2">
        <v>0.24067388688327659</v>
      </c>
      <c r="BY150" s="2">
        <v>9.843158464034607</v>
      </c>
      <c r="BZ150" s="2">
        <v>2.6932084309133453</v>
      </c>
      <c r="CA150" s="2">
        <v>6.6502463054187082</v>
      </c>
      <c r="CB150" s="2">
        <v>3.2429245283018866</v>
      </c>
      <c r="CC150" s="2">
        <v>2.9048207663782377</v>
      </c>
      <c r="CD150" s="2">
        <v>-15.857945619335348</v>
      </c>
      <c r="CE150" s="2">
        <v>2.7760641579272058</v>
      </c>
      <c r="CF150" s="2">
        <v>1.824817518248175</v>
      </c>
      <c r="CG150" s="2">
        <v>2.2067363530778232</v>
      </c>
      <c r="CH150" s="2">
        <v>3.1438935912938262</v>
      </c>
      <c r="CI150" s="2">
        <v>-0.25933609958506221</v>
      </c>
      <c r="CJ150" s="2">
        <v>2.9357798165137687</v>
      </c>
      <c r="CK150" s="2">
        <v>1.5653220951234164</v>
      </c>
    </row>
    <row r="151" spans="1:89" x14ac:dyDescent="0.35">
      <c r="AD151">
        <v>1.7041996348143535</v>
      </c>
      <c r="AE151">
        <v>0.16666666666666904</v>
      </c>
      <c r="AF151">
        <v>2.9473684210526288</v>
      </c>
      <c r="AG151">
        <v>3.8004750593824257</v>
      </c>
      <c r="AH151">
        <v>-0.64794816414686218</v>
      </c>
      <c r="AI151">
        <v>-0.62857142857142534</v>
      </c>
      <c r="AJ151">
        <v>1.1746680286006042</v>
      </c>
      <c r="AK151">
        <v>2.7481772293886579</v>
      </c>
      <c r="AL151">
        <v>6.0712200817279491</v>
      </c>
      <c r="AM151">
        <v>3.2148900169204673</v>
      </c>
      <c r="AN151">
        <v>2.9271206690561562</v>
      </c>
      <c r="AO151">
        <v>-17.011263408820028</v>
      </c>
      <c r="AP151">
        <v>1.8039687312086587</v>
      </c>
      <c r="AQ151">
        <v>0.82498526812021555</v>
      </c>
      <c r="AR151">
        <v>1.873935264054521</v>
      </c>
      <c r="AS151">
        <v>2.5087514585764192</v>
      </c>
      <c r="AT151">
        <v>-0.46248715313463812</v>
      </c>
      <c r="AU151">
        <v>2.4940617577197082</v>
      </c>
      <c r="AV151">
        <v>1.0957324106113064</v>
      </c>
      <c r="BL151" s="2">
        <v>-3.6869144756724053</v>
      </c>
      <c r="BM151" s="2">
        <v>2.3302263648468711</v>
      </c>
      <c r="BN151" s="2">
        <v>3.7500000000000053</v>
      </c>
      <c r="BO151" s="2">
        <v>-0.11911852293032582</v>
      </c>
      <c r="BP151" s="2">
        <v>0.80896079651525299</v>
      </c>
      <c r="BQ151" s="2">
        <v>2.3733162283514999</v>
      </c>
      <c r="BR151" s="2">
        <v>20.924261874197683</v>
      </c>
      <c r="BS151" s="2">
        <v>-0.48721071863579962</v>
      </c>
      <c r="BT151" s="2">
        <v>1.862828111769689</v>
      </c>
      <c r="BU151" s="2">
        <v>-2.2383883603805264</v>
      </c>
      <c r="BV151" s="2">
        <v>-8.2359813084112119</v>
      </c>
      <c r="BW151" s="2">
        <v>2.3111612175873697</v>
      </c>
      <c r="BX151" s="2">
        <v>2.9411764705882386</v>
      </c>
      <c r="BY151" s="2">
        <v>-11.373707533234857</v>
      </c>
      <c r="BZ151" s="2">
        <v>-4.7320410490307934</v>
      </c>
      <c r="CA151" s="2">
        <v>-11.893764434180136</v>
      </c>
      <c r="CB151" s="2">
        <v>-5.8252427184465958</v>
      </c>
      <c r="CC151" s="2">
        <v>-4.7447447447447475</v>
      </c>
      <c r="CD151" s="2">
        <v>18.703013390532924</v>
      </c>
      <c r="CE151" s="2">
        <v>-3.481392557022799</v>
      </c>
      <c r="CF151" s="2">
        <v>-0.35842293906809691</v>
      </c>
      <c r="CG151" s="2">
        <v>-4.4318181818181879</v>
      </c>
      <c r="CH151" s="2">
        <v>-4.6307151230949621</v>
      </c>
      <c r="CI151" s="2">
        <v>2.7041081643265672</v>
      </c>
      <c r="CJ151" s="2">
        <v>-4.5751633986928208</v>
      </c>
      <c r="CK151" s="2">
        <v>-1.3040901007705921</v>
      </c>
    </row>
    <row r="152" spans="1:89" x14ac:dyDescent="0.35">
      <c r="AD152">
        <v>0.11968880909635971</v>
      </c>
      <c r="AE152">
        <v>1.6638935108153077</v>
      </c>
      <c r="AF152">
        <v>-3.0163599182004122</v>
      </c>
      <c r="AG152">
        <v>-8.1807780320366188</v>
      </c>
      <c r="AH152">
        <v>2.6630434782608727</v>
      </c>
      <c r="AI152">
        <v>3.7377803335250142</v>
      </c>
      <c r="AJ152">
        <v>-7.8748107016658224</v>
      </c>
      <c r="AK152">
        <v>-5.1855895196506552</v>
      </c>
      <c r="AL152">
        <v>-11.942762795817275</v>
      </c>
      <c r="AM152">
        <v>-6.2295081967213148</v>
      </c>
      <c r="AN152">
        <v>-4.701102727800361</v>
      </c>
      <c r="AO152">
        <v>21.360007640653738</v>
      </c>
      <c r="AP152">
        <v>-2.4808033077377534</v>
      </c>
      <c r="AQ152">
        <v>0.1753360607831744</v>
      </c>
      <c r="AR152">
        <v>-3.7904124860646662</v>
      </c>
      <c r="AS152">
        <v>-3.3010813887307817</v>
      </c>
      <c r="AT152">
        <v>2.5813113061435211</v>
      </c>
      <c r="AU152">
        <v>-4.1714947856315119</v>
      </c>
      <c r="AV152">
        <v>-1.2549914432401694</v>
      </c>
      <c r="BL152" s="2">
        <v>2.0081581424537287</v>
      </c>
      <c r="BM152" s="2">
        <v>-1.5614834092387622</v>
      </c>
      <c r="BN152" s="2">
        <v>-2.3632993512511686</v>
      </c>
      <c r="BO152" s="2">
        <v>5.9630292188445282E-2</v>
      </c>
      <c r="BP152" s="2">
        <v>0.37037037037036685</v>
      </c>
      <c r="BQ152" s="2">
        <v>-1.2531328320802007</v>
      </c>
      <c r="BR152" s="2">
        <v>-11.411889596602972</v>
      </c>
      <c r="BS152" s="2">
        <v>0.30599755201958384</v>
      </c>
      <c r="BT152" s="2">
        <v>-1.2468827930174564</v>
      </c>
      <c r="BU152" s="2">
        <v>1.5455065827132324</v>
      </c>
      <c r="BV152" s="2">
        <v>5.2196053469128056</v>
      </c>
      <c r="BW152" s="2">
        <v>-1.2121212121212059</v>
      </c>
      <c r="BX152" s="2">
        <v>-1.8075801749271103</v>
      </c>
      <c r="BY152" s="2">
        <v>8.1111111111111072</v>
      </c>
      <c r="BZ152" s="2">
        <v>2.9922202274087373</v>
      </c>
      <c r="CA152" s="2">
        <v>7.8636959370904327</v>
      </c>
      <c r="CB152" s="2">
        <v>3.7598544572468091</v>
      </c>
      <c r="CC152" s="2">
        <v>2.6481715006305278</v>
      </c>
      <c r="CD152" s="2">
        <v>0</v>
      </c>
      <c r="CE152" s="2">
        <v>1.5547263681592038</v>
      </c>
      <c r="CF152" s="2">
        <v>0.23980815347720458</v>
      </c>
      <c r="CG152" s="2">
        <v>2.8537455410225991</v>
      </c>
      <c r="CH152" s="2">
        <v>2.0282728948985933</v>
      </c>
      <c r="CI152" s="2">
        <v>-1.924050632911398</v>
      </c>
      <c r="CJ152" s="2">
        <v>2.4906600249066004</v>
      </c>
      <c r="CK152" s="2">
        <v>0.72072072072071391</v>
      </c>
    </row>
    <row r="153" spans="1:89" x14ac:dyDescent="0.35">
      <c r="A153" s="5" t="s">
        <v>79</v>
      </c>
      <c r="B153" s="5" t="s">
        <v>2</v>
      </c>
      <c r="C153" s="5" t="s">
        <v>3</v>
      </c>
      <c r="D153" s="5" t="s">
        <v>4</v>
      </c>
      <c r="E153" s="5" t="s">
        <v>5</v>
      </c>
      <c r="F153" s="5" t="s">
        <v>6</v>
      </c>
      <c r="G153" s="5" t="s">
        <v>8</v>
      </c>
      <c r="H153" s="5" t="s">
        <v>9</v>
      </c>
      <c r="I153" s="5" t="s">
        <v>10</v>
      </c>
      <c r="J153" s="5" t="s">
        <v>11</v>
      </c>
      <c r="K153" s="5" t="s">
        <v>12</v>
      </c>
      <c r="L153" s="5" t="s">
        <v>13</v>
      </c>
      <c r="M153" s="5" t="s">
        <v>14</v>
      </c>
      <c r="N153" s="5" t="s">
        <v>15</v>
      </c>
      <c r="O153" s="5" t="s">
        <v>7</v>
      </c>
      <c r="P153" s="5" t="s">
        <v>17</v>
      </c>
      <c r="Q153" s="5" t="s">
        <v>110</v>
      </c>
      <c r="R153" s="5" t="s">
        <v>19</v>
      </c>
      <c r="S153" s="5" t="s">
        <v>22</v>
      </c>
      <c r="T153" s="5" t="s">
        <v>20</v>
      </c>
      <c r="U153" s="5" t="s">
        <v>111</v>
      </c>
      <c r="V153" s="5" t="s">
        <v>112</v>
      </c>
      <c r="W153" s="5" t="s">
        <v>113</v>
      </c>
      <c r="X153" s="5" t="s">
        <v>114</v>
      </c>
      <c r="Y153" s="5" t="s">
        <v>115</v>
      </c>
      <c r="Z153" s="5" t="s">
        <v>116</v>
      </c>
      <c r="AA153" s="5" t="s">
        <v>117</v>
      </c>
      <c r="AD153">
        <v>-5.9772863120157047E-2</v>
      </c>
      <c r="AE153">
        <v>-1.0638297872340403</v>
      </c>
      <c r="AF153">
        <v>2.0558777016341621</v>
      </c>
      <c r="AG153">
        <v>5.1713395638629356</v>
      </c>
      <c r="AH153">
        <v>-1.3763896241397535</v>
      </c>
      <c r="AI153">
        <v>-2.2727272727272698</v>
      </c>
      <c r="AJ153">
        <v>5.4246575342465784</v>
      </c>
      <c r="AK153">
        <v>3.3390903857225167</v>
      </c>
      <c r="AL153">
        <v>7.9374999999999929</v>
      </c>
      <c r="AM153">
        <v>4.0209790209790244</v>
      </c>
      <c r="AN153">
        <v>2.6187576126674861</v>
      </c>
      <c r="AO153">
        <v>0</v>
      </c>
      <c r="AP153">
        <v>1.0902483343428293</v>
      </c>
      <c r="AQ153">
        <v>-0.116686114352402</v>
      </c>
      <c r="AR153">
        <v>2.4333719582850621</v>
      </c>
      <c r="AS153">
        <v>1.412595644496766</v>
      </c>
      <c r="AT153">
        <v>-1.8621036738802159</v>
      </c>
      <c r="AU153">
        <v>2.2370012091898359</v>
      </c>
      <c r="AV153">
        <v>0.69324090121318138</v>
      </c>
      <c r="BL153" s="2">
        <v>4.4294063365118355</v>
      </c>
      <c r="BM153" s="2">
        <v>0.33046926635822865</v>
      </c>
      <c r="BN153" s="2">
        <v>-0.47460844803037494</v>
      </c>
      <c r="BO153" s="2">
        <v>-1.9666269368295657</v>
      </c>
      <c r="BP153" s="2">
        <v>-0.24600246002460377</v>
      </c>
      <c r="BQ153" s="2">
        <v>7.6776649746192858</v>
      </c>
      <c r="BR153" s="2">
        <v>-7.9688436189334997</v>
      </c>
      <c r="BS153" s="2">
        <v>0.73215375228797352</v>
      </c>
      <c r="BT153" s="2">
        <v>-0.5050505050505002</v>
      </c>
      <c r="BU153" s="2">
        <v>3.1003382187147688</v>
      </c>
      <c r="BV153" s="2">
        <v>4.2952208106473044</v>
      </c>
      <c r="BW153" s="2">
        <v>-0.22308979364194401</v>
      </c>
      <c r="BX153" s="2">
        <v>0.11876484560569395</v>
      </c>
      <c r="BY153" s="2">
        <v>6.5775950668037053</v>
      </c>
      <c r="BZ153" s="2">
        <v>3.1377106333527056</v>
      </c>
      <c r="CA153" s="2">
        <v>6.3791008505467799</v>
      </c>
      <c r="CB153" s="2">
        <v>3.5067212156633545</v>
      </c>
      <c r="CC153" s="2">
        <v>3.0098280098279955</v>
      </c>
      <c r="CD153" s="2">
        <v>-15.756140350877198</v>
      </c>
      <c r="CE153" s="2">
        <v>2.3882424984690611</v>
      </c>
      <c r="CF153" s="2">
        <v>1.0765550239234518</v>
      </c>
      <c r="CG153" s="2">
        <v>2.3121387283236992</v>
      </c>
      <c r="CH153" s="2">
        <v>2.951807228915666</v>
      </c>
      <c r="CI153" s="2">
        <v>-0.46463603510582202</v>
      </c>
      <c r="CJ153" s="2">
        <v>3.4021871202916132</v>
      </c>
      <c r="CK153" s="2">
        <v>1.8485390578413969</v>
      </c>
    </row>
    <row r="154" spans="1:89" x14ac:dyDescent="0.35">
      <c r="A154">
        <v>2021</v>
      </c>
      <c r="B154" t="s">
        <v>31</v>
      </c>
      <c r="C154" s="29">
        <v>436.29999999999995</v>
      </c>
      <c r="D154" s="29">
        <v>572.4</v>
      </c>
      <c r="E154" s="29">
        <v>527.1</v>
      </c>
      <c r="F154" s="29">
        <v>462.5</v>
      </c>
      <c r="G154" s="29">
        <v>449.20000000000005</v>
      </c>
      <c r="H154" s="29">
        <v>588.79999999999995</v>
      </c>
      <c r="I154" s="29">
        <v>482</v>
      </c>
      <c r="J154" s="29">
        <v>344.7</v>
      </c>
      <c r="K154" s="29">
        <v>491.5</v>
      </c>
      <c r="L154" s="29">
        <v>453.8</v>
      </c>
      <c r="M154" s="29">
        <v>497.1</v>
      </c>
      <c r="N154" s="29">
        <v>484</v>
      </c>
      <c r="O154" s="29">
        <v>449.79999999999995</v>
      </c>
      <c r="P154" s="29">
        <v>465.5</v>
      </c>
      <c r="Q154" s="29">
        <v>435.80000000000007</v>
      </c>
      <c r="R154" s="29">
        <v>461.2</v>
      </c>
      <c r="S154" s="29">
        <v>449.6</v>
      </c>
      <c r="T154" s="29">
        <v>454.6551</v>
      </c>
      <c r="U154" s="29">
        <v>450.1</v>
      </c>
      <c r="V154" s="29">
        <v>470.7</v>
      </c>
      <c r="W154" s="29">
        <v>475.90000000000003</v>
      </c>
      <c r="X154" s="29">
        <v>478.8</v>
      </c>
      <c r="Y154" s="29">
        <v>562.9</v>
      </c>
      <c r="Z154" s="29">
        <v>455.4</v>
      </c>
      <c r="AA154" s="29">
        <v>471.8</v>
      </c>
      <c r="AD154">
        <v>1.0765550239234518</v>
      </c>
      <c r="AE154">
        <v>-8.2712985938799444E-2</v>
      </c>
      <c r="AF154">
        <v>2.8409090909090913</v>
      </c>
      <c r="AG154">
        <v>3.9099526066350676</v>
      </c>
      <c r="AH154">
        <v>-0.80515297906602246</v>
      </c>
      <c r="AI154">
        <v>-0.45377197958026738</v>
      </c>
      <c r="AJ154">
        <v>0.88357588357587769</v>
      </c>
      <c r="AK154">
        <v>2.8969359331476259</v>
      </c>
      <c r="AL154">
        <v>6.1378112333526484</v>
      </c>
      <c r="AM154">
        <v>3.3613445378151261</v>
      </c>
      <c r="AN154">
        <v>3.0267062314540025</v>
      </c>
      <c r="AO154">
        <v>-17.600532544378702</v>
      </c>
      <c r="AP154">
        <v>1.857399640503292</v>
      </c>
      <c r="AQ154">
        <v>-0.23364485981307087</v>
      </c>
      <c r="AR154">
        <v>1.92307692307691</v>
      </c>
      <c r="AS154">
        <v>2.2634939059779322</v>
      </c>
      <c r="AT154">
        <v>-0.25641025641025639</v>
      </c>
      <c r="AU154">
        <v>2.3654642223536371</v>
      </c>
      <c r="AV154">
        <v>1.2048192771084303</v>
      </c>
      <c r="BL154" s="2">
        <v>-2.8571428571428541</v>
      </c>
      <c r="BM154" s="2">
        <v>2.3715415019762807</v>
      </c>
      <c r="BN154" s="2">
        <v>2.9089175011921902</v>
      </c>
      <c r="BO154" s="2">
        <v>6.0790273556227549E-2</v>
      </c>
      <c r="BP154" s="2">
        <v>0.98643649815044565</v>
      </c>
      <c r="BQ154" s="2">
        <v>3.6535061873895214</v>
      </c>
      <c r="BR154" s="2">
        <v>24.153645833333332</v>
      </c>
      <c r="BS154" s="2">
        <v>-0.66626287098727699</v>
      </c>
      <c r="BT154" s="2">
        <v>1.9458544839255476</v>
      </c>
      <c r="BU154" s="2">
        <v>-2.6790595954073293</v>
      </c>
      <c r="BV154" s="2">
        <v>-8.6426914153132284</v>
      </c>
      <c r="BW154" s="2">
        <v>2.4594745667970965</v>
      </c>
      <c r="BX154" s="2">
        <v>3.4994068801898015</v>
      </c>
      <c r="BY154" s="2">
        <v>-10.318225650916107</v>
      </c>
      <c r="BZ154" s="2">
        <v>-5.1267605633802784</v>
      </c>
      <c r="CA154" s="2">
        <v>-11.764705882352938</v>
      </c>
      <c r="CB154" s="2">
        <v>-6.0982495765104368</v>
      </c>
      <c r="CC154" s="2">
        <v>-4.7107930828860933</v>
      </c>
      <c r="CD154" s="2">
        <v>19.923794532480319</v>
      </c>
      <c r="CE154" s="2">
        <v>-2.9904306220095696</v>
      </c>
      <c r="CF154" s="2">
        <v>-0.35502958579881322</v>
      </c>
      <c r="CG154" s="2">
        <v>-4.5197740112994351</v>
      </c>
      <c r="CH154" s="2">
        <v>-4.0374488004681126</v>
      </c>
      <c r="CI154" s="2">
        <v>2.2302904564315265</v>
      </c>
      <c r="CJ154" s="2">
        <v>-4.1715628672150382</v>
      </c>
      <c r="CK154" s="2">
        <v>-0.93676814988291712</v>
      </c>
    </row>
    <row r="155" spans="1:89" x14ac:dyDescent="0.35">
      <c r="A155">
        <v>2021</v>
      </c>
      <c r="B155" t="s">
        <v>34</v>
      </c>
      <c r="C155" s="29">
        <v>434.7</v>
      </c>
      <c r="D155" s="29">
        <v>561.70000000000005</v>
      </c>
      <c r="E155" s="29">
        <v>506.59999999999997</v>
      </c>
      <c r="F155" s="29">
        <v>464.2</v>
      </c>
      <c r="G155" s="29">
        <v>452.5</v>
      </c>
      <c r="H155" s="29">
        <v>489.9</v>
      </c>
      <c r="I155" s="29">
        <v>476.90000000000003</v>
      </c>
      <c r="J155" s="29">
        <v>339.5</v>
      </c>
      <c r="K155" s="29">
        <v>491.7</v>
      </c>
      <c r="L155" s="29">
        <v>464.7</v>
      </c>
      <c r="M155" s="29">
        <v>502.70000000000005</v>
      </c>
      <c r="N155" s="29">
        <v>472.4</v>
      </c>
      <c r="O155" s="29">
        <v>473.09999999999997</v>
      </c>
      <c r="P155" s="29">
        <v>470.49999999999994</v>
      </c>
      <c r="Q155" s="29">
        <v>439.5</v>
      </c>
      <c r="R155" s="29">
        <v>466.00000000000006</v>
      </c>
      <c r="S155" s="29">
        <v>452.20000000000005</v>
      </c>
      <c r="T155" s="29">
        <v>458.85510000000005</v>
      </c>
      <c r="U155" s="29">
        <v>455.8</v>
      </c>
      <c r="V155" s="29">
        <v>467.7</v>
      </c>
      <c r="W155" s="29">
        <v>481.90000000000003</v>
      </c>
      <c r="X155" s="29">
        <v>479.7</v>
      </c>
      <c r="Y155" s="29">
        <v>568.1</v>
      </c>
      <c r="Z155" s="29">
        <v>459.9</v>
      </c>
      <c r="AA155" s="29">
        <v>469.79999999999995</v>
      </c>
      <c r="AD155">
        <v>0.11834319526626547</v>
      </c>
      <c r="AE155">
        <v>1.9039735099337725</v>
      </c>
      <c r="AF155">
        <v>-2.7624309392265194</v>
      </c>
      <c r="AG155">
        <v>-8.1527936145952182</v>
      </c>
      <c r="AH155">
        <v>3.0303030303030267</v>
      </c>
      <c r="AI155">
        <v>3.5897435897435965</v>
      </c>
      <c r="AJ155">
        <v>-7.6249356002060704</v>
      </c>
      <c r="AK155">
        <v>-5.2517596101786621</v>
      </c>
      <c r="AL155">
        <v>-11.783960720130944</v>
      </c>
      <c r="AM155">
        <v>-6.2330623306233059</v>
      </c>
      <c r="AN155">
        <v>-4.9539170506912411</v>
      </c>
      <c r="AO155">
        <v>21.719060917697092</v>
      </c>
      <c r="AP155">
        <v>-2.4705882352941111</v>
      </c>
      <c r="AQ155">
        <v>0.17564402810303451</v>
      </c>
      <c r="AR155">
        <v>-3.5516093229744605</v>
      </c>
      <c r="AS155">
        <v>-3.0079455164585602</v>
      </c>
      <c r="AT155">
        <v>2.6735218508997369</v>
      </c>
      <c r="AU155">
        <v>-4.0439052570768341</v>
      </c>
      <c r="AV155">
        <v>-1.3038548752834531</v>
      </c>
      <c r="BL155" s="2">
        <v>1.5160703456640214</v>
      </c>
      <c r="BM155" s="2">
        <v>-1.6087516087516087</v>
      </c>
      <c r="BN155" s="2">
        <v>-1.8535681186283595</v>
      </c>
      <c r="BO155" s="2">
        <v>-6.0753341433775407E-2</v>
      </c>
      <c r="BP155" s="2">
        <v>0.24420024420023032</v>
      </c>
      <c r="BQ155" s="2">
        <v>-1.8760659465605523</v>
      </c>
      <c r="BR155" s="2">
        <v>-12.847404299947563</v>
      </c>
      <c r="BS155" s="2">
        <v>0.42682926829267603</v>
      </c>
      <c r="BT155" s="2">
        <v>-1.2448132780082988</v>
      </c>
      <c r="BU155" s="2">
        <v>1.8539325842696692</v>
      </c>
      <c r="BV155" s="2">
        <v>5.5238095238095166</v>
      </c>
      <c r="BW155" s="2">
        <v>-1.30932896890344</v>
      </c>
      <c r="BX155" s="2">
        <v>-2.1203438395415408</v>
      </c>
      <c r="BY155" s="2">
        <v>7.2580645161290329</v>
      </c>
      <c r="BZ155" s="2">
        <v>3.2660332541567696</v>
      </c>
      <c r="CA155" s="2">
        <v>7.7669902912621351</v>
      </c>
      <c r="CB155" s="2">
        <v>3.908598917618761</v>
      </c>
      <c r="CC155" s="2">
        <v>2.6282853566958626</v>
      </c>
      <c r="CD155" s="2">
        <v>0</v>
      </c>
      <c r="CE155" s="2">
        <v>1.356350184956854</v>
      </c>
      <c r="CF155" s="2">
        <v>0.23752969121140477</v>
      </c>
      <c r="CG155" s="2">
        <v>2.9585798816568047</v>
      </c>
      <c r="CH155" s="2">
        <v>1.7682926829268326</v>
      </c>
      <c r="CI155" s="2">
        <v>-1.6235413495687412</v>
      </c>
      <c r="CJ155" s="2">
        <v>2.2685469037400474</v>
      </c>
      <c r="CK155" s="2">
        <v>0.5319148936170246</v>
      </c>
    </row>
    <row r="156" spans="1:89" x14ac:dyDescent="0.35">
      <c r="A156">
        <v>2021</v>
      </c>
      <c r="B156" t="s">
        <v>35</v>
      </c>
      <c r="C156" s="29">
        <v>434.1</v>
      </c>
      <c r="D156" s="29">
        <v>579.09999999999991</v>
      </c>
      <c r="E156" s="29">
        <v>491.7</v>
      </c>
      <c r="F156" s="29">
        <v>465</v>
      </c>
      <c r="G156" s="29">
        <v>461.5</v>
      </c>
      <c r="H156" s="29">
        <v>456.6</v>
      </c>
      <c r="I156" s="29">
        <v>480.09999999999997</v>
      </c>
      <c r="J156" s="29">
        <v>338.6</v>
      </c>
      <c r="K156" s="29">
        <v>490.1</v>
      </c>
      <c r="L156" s="29">
        <v>467.79999999999995</v>
      </c>
      <c r="M156" s="29">
        <v>504.90000000000003</v>
      </c>
      <c r="N156" s="29">
        <v>471.59999999999997</v>
      </c>
      <c r="O156" s="29">
        <v>488.5</v>
      </c>
      <c r="P156" s="29">
        <v>472.5</v>
      </c>
      <c r="Q156" s="29">
        <v>441</v>
      </c>
      <c r="R156" s="29">
        <v>467.9</v>
      </c>
      <c r="S156" s="29">
        <v>453.2</v>
      </c>
      <c r="T156" s="29">
        <v>459.05510000000004</v>
      </c>
      <c r="U156" s="29">
        <v>459</v>
      </c>
      <c r="V156" s="29">
        <v>461.8</v>
      </c>
      <c r="W156" s="29">
        <v>483.2</v>
      </c>
      <c r="X156" s="29">
        <v>481.59999999999997</v>
      </c>
      <c r="Y156" s="29">
        <v>567.70000000000005</v>
      </c>
      <c r="Z156" s="29">
        <v>461.1</v>
      </c>
      <c r="AA156" s="29">
        <v>470.40000000000003</v>
      </c>
      <c r="AD156">
        <v>-5.9101654846332348E-2</v>
      </c>
      <c r="AE156">
        <v>-1.2185215272136476</v>
      </c>
      <c r="AF156">
        <v>1.9111570247933973</v>
      </c>
      <c r="AG156">
        <v>5.1520794537554382</v>
      </c>
      <c r="AH156">
        <v>-1.5756302521008403</v>
      </c>
      <c r="AI156">
        <v>-2.2002200220021999</v>
      </c>
      <c r="AJ156">
        <v>5.2426101505855982</v>
      </c>
      <c r="AK156">
        <v>3.3714285714285745</v>
      </c>
      <c r="AL156">
        <v>7.7922077922078072</v>
      </c>
      <c r="AM156">
        <v>3.988439306358385</v>
      </c>
      <c r="AN156">
        <v>2.7272727272727271</v>
      </c>
      <c r="AO156">
        <v>0</v>
      </c>
      <c r="AP156">
        <v>1.0856453558504118</v>
      </c>
      <c r="AQ156">
        <v>-0.11689070718877186</v>
      </c>
      <c r="AR156">
        <v>2.3014959723820483</v>
      </c>
      <c r="AS156">
        <v>1.2873025160912748</v>
      </c>
      <c r="AT156">
        <v>-1.9028542814221248</v>
      </c>
      <c r="AU156">
        <v>2.1673690547862701</v>
      </c>
      <c r="AV156">
        <v>0.68925904652499548</v>
      </c>
      <c r="BL156" s="2">
        <v>2.2700119474313092</v>
      </c>
      <c r="BM156" s="2">
        <v>0</v>
      </c>
      <c r="BN156" s="2">
        <v>1.3692162417374774</v>
      </c>
      <c r="BO156" s="2">
        <v>-1.8844984802431575</v>
      </c>
      <c r="BP156" s="2">
        <v>-0.18270401948841836</v>
      </c>
      <c r="BQ156" s="2">
        <v>-2.6651216685979113</v>
      </c>
      <c r="BR156" s="2">
        <v>-3.4897713598074511</v>
      </c>
      <c r="BS156" s="2">
        <v>0.18214936247723826</v>
      </c>
      <c r="BT156" s="2">
        <v>-8.403361344537337E-2</v>
      </c>
      <c r="BU156" s="2">
        <v>2.9233314947600566</v>
      </c>
      <c r="BV156" s="2">
        <v>4.2117930204572804</v>
      </c>
      <c r="BW156" s="2">
        <v>-0.2763957987838585</v>
      </c>
      <c r="BX156" s="2">
        <v>0</v>
      </c>
      <c r="BY156" s="2">
        <v>5.2130325814536365</v>
      </c>
      <c r="BZ156" s="2">
        <v>3.1052328924669381</v>
      </c>
      <c r="CA156" s="2">
        <v>6.4264264264264197</v>
      </c>
      <c r="CB156" s="2">
        <v>3.5879629629629561</v>
      </c>
      <c r="CC156" s="2">
        <v>2.987804878048784</v>
      </c>
      <c r="CD156" s="2">
        <v>-16.6137125748503</v>
      </c>
      <c r="CE156" s="2">
        <v>1.9464720194647134</v>
      </c>
      <c r="CF156" s="2">
        <v>-0.17772511848341904</v>
      </c>
      <c r="CG156" s="2">
        <v>2.1264367816091889</v>
      </c>
      <c r="CH156" s="2">
        <v>2.935889754343922</v>
      </c>
      <c r="CI156" s="2">
        <v>-0.51572975760701389</v>
      </c>
      <c r="CJ156" s="2">
        <v>2.4580335731414835</v>
      </c>
      <c r="CK156" s="2">
        <v>1.4109347442680811</v>
      </c>
    </row>
    <row r="157" spans="1:89" x14ac:dyDescent="0.35">
      <c r="A157">
        <v>2021</v>
      </c>
      <c r="B157" t="s">
        <v>36</v>
      </c>
      <c r="C157" s="29">
        <v>434.59999999999997</v>
      </c>
      <c r="D157" s="29">
        <v>596</v>
      </c>
      <c r="E157" s="29">
        <v>494.4</v>
      </c>
      <c r="F157" s="29">
        <v>466.4</v>
      </c>
      <c r="G157" s="29">
        <v>493.79999999999995</v>
      </c>
      <c r="H157" s="29">
        <v>440.79999999999995</v>
      </c>
      <c r="I157" s="29">
        <v>485.59999999999997</v>
      </c>
      <c r="J157" s="29">
        <v>340.1</v>
      </c>
      <c r="K157" s="29">
        <v>491.1</v>
      </c>
      <c r="L157" s="29">
        <v>471</v>
      </c>
      <c r="M157" s="29">
        <v>507.1</v>
      </c>
      <c r="N157" s="29">
        <v>475.6</v>
      </c>
      <c r="O157" s="29">
        <v>506.70000000000005</v>
      </c>
      <c r="P157" s="29">
        <v>475.40000000000003</v>
      </c>
      <c r="Q157" s="29">
        <v>442.9</v>
      </c>
      <c r="R157" s="29">
        <v>470.6</v>
      </c>
      <c r="S157" s="29">
        <v>454.90000000000003</v>
      </c>
      <c r="T157" s="29">
        <v>462.05510000000004</v>
      </c>
      <c r="U157" s="29">
        <v>460.9</v>
      </c>
      <c r="V157" s="29">
        <v>466.6</v>
      </c>
      <c r="W157" s="29">
        <v>485.1</v>
      </c>
      <c r="X157" s="29">
        <v>482</v>
      </c>
      <c r="Y157" s="29">
        <v>570</v>
      </c>
      <c r="Z157" s="29">
        <v>462.9</v>
      </c>
      <c r="AA157" s="29">
        <v>473.40000000000003</v>
      </c>
      <c r="AD157">
        <v>0.35481963335304223</v>
      </c>
      <c r="AE157">
        <v>-0.41118421052631576</v>
      </c>
      <c r="AF157">
        <v>2.1794221996958858</v>
      </c>
      <c r="AG157">
        <v>3.7780401416765086</v>
      </c>
      <c r="AH157">
        <v>-0.96051227321238608</v>
      </c>
      <c r="AI157">
        <v>-0.22497187851518879</v>
      </c>
      <c r="AJ157">
        <v>1.5368309485956575</v>
      </c>
      <c r="AK157">
        <v>2.8745163073521218</v>
      </c>
      <c r="AL157">
        <v>5.7946069994262732</v>
      </c>
      <c r="AM157">
        <v>3.3351862145636466</v>
      </c>
      <c r="AN157">
        <v>2.8908554572271421</v>
      </c>
      <c r="AO157">
        <v>-17.843598820058997</v>
      </c>
      <c r="AP157">
        <v>1.7899761336515514</v>
      </c>
      <c r="AQ157">
        <v>0.64365125804563739</v>
      </c>
      <c r="AR157">
        <v>1.9122609673790647</v>
      </c>
      <c r="AS157">
        <v>1.9641825534373227</v>
      </c>
      <c r="AT157">
        <v>-0.51046452271567122</v>
      </c>
      <c r="AU157">
        <v>2.4749558043606465</v>
      </c>
      <c r="AV157">
        <v>1.483171705647458</v>
      </c>
      <c r="BL157" s="2">
        <v>-2.7745327102803743</v>
      </c>
      <c r="BM157" s="2">
        <v>2.4852844996729777</v>
      </c>
      <c r="BN157" s="2">
        <v>3.0274802049371221</v>
      </c>
      <c r="BO157" s="2">
        <v>1.6728624535315915</v>
      </c>
      <c r="BP157" s="2">
        <v>0.42708968883464826</v>
      </c>
      <c r="BQ157" s="2">
        <v>3.8690476190476191</v>
      </c>
      <c r="BR157" s="2">
        <v>26.683291770573554</v>
      </c>
      <c r="BS157" s="2">
        <v>-0.54545454545454886</v>
      </c>
      <c r="BT157" s="2">
        <v>1.9343986543313683</v>
      </c>
      <c r="BU157" s="2">
        <v>-2.7867095391211087</v>
      </c>
      <c r="BV157" s="2">
        <v>-8.4872979214780546</v>
      </c>
      <c r="BW157" s="2">
        <v>2.4944567627494458</v>
      </c>
      <c r="BX157" s="2">
        <v>3.9227166276346539</v>
      </c>
      <c r="BY157" s="2">
        <v>-9.7189137684611744</v>
      </c>
      <c r="BZ157" s="2">
        <v>-5.186837702175132</v>
      </c>
      <c r="CA157" s="2">
        <v>-12.020316027088027</v>
      </c>
      <c r="CB157" s="2">
        <v>-6.2569832402234571</v>
      </c>
      <c r="CC157" s="2">
        <v>-4.6181172291296688</v>
      </c>
      <c r="CD157" s="2">
        <v>20.282847809523673</v>
      </c>
      <c r="CE157" s="2">
        <v>-2.625298329355612</v>
      </c>
      <c r="CF157" s="2">
        <v>-0.17804154302671296</v>
      </c>
      <c r="CG157" s="2">
        <v>-4.2768711311198624</v>
      </c>
      <c r="CH157" s="2">
        <v>-3.8416763678696286</v>
      </c>
      <c r="CI157" s="2">
        <v>2.3846552617936725</v>
      </c>
      <c r="CJ157" s="2">
        <v>-4.1544763019309503</v>
      </c>
      <c r="CK157" s="2">
        <v>-0.98550724637680498</v>
      </c>
    </row>
    <row r="158" spans="1:89" x14ac:dyDescent="0.35">
      <c r="A158">
        <v>2021</v>
      </c>
      <c r="B158" t="s">
        <v>37</v>
      </c>
      <c r="C158" s="29">
        <v>440.2</v>
      </c>
      <c r="D158" s="29">
        <v>603.29999999999995</v>
      </c>
      <c r="E158" s="29">
        <v>511.90000000000003</v>
      </c>
      <c r="F158" s="29">
        <v>468.4</v>
      </c>
      <c r="G158" s="29">
        <v>501.9</v>
      </c>
      <c r="H158" s="29">
        <v>452.79999999999995</v>
      </c>
      <c r="I158" s="29">
        <v>496.4</v>
      </c>
      <c r="J158" s="29">
        <v>345</v>
      </c>
      <c r="K158" s="29">
        <v>503.09999999999997</v>
      </c>
      <c r="L158" s="29">
        <v>475.90000000000003</v>
      </c>
      <c r="M158" s="29">
        <v>511.29999999999995</v>
      </c>
      <c r="N158" s="29">
        <v>483.59999999999997</v>
      </c>
      <c r="O158" s="29">
        <v>531.90000000000009</v>
      </c>
      <c r="P158" s="29">
        <v>483.6</v>
      </c>
      <c r="Q158" s="29">
        <v>452.9</v>
      </c>
      <c r="R158" s="29">
        <v>479</v>
      </c>
      <c r="S158" s="29">
        <v>463.59999999999997</v>
      </c>
      <c r="T158" s="29">
        <v>462.45510000000002</v>
      </c>
      <c r="U158" s="29">
        <v>468.40000000000003</v>
      </c>
      <c r="V158" s="29">
        <v>475.4</v>
      </c>
      <c r="W158" s="29">
        <v>495.3</v>
      </c>
      <c r="X158" s="29">
        <v>485.4</v>
      </c>
      <c r="Y158" s="29">
        <v>579.69999999999993</v>
      </c>
      <c r="Z158" s="29">
        <v>470.2</v>
      </c>
      <c r="AA158" s="29">
        <v>481</v>
      </c>
      <c r="AD158">
        <v>0.11785503830289751</v>
      </c>
      <c r="AE158">
        <v>1.8992568125516196</v>
      </c>
      <c r="AF158">
        <v>-2.5793650793650738</v>
      </c>
      <c r="AG158">
        <v>-8.0773606370876099</v>
      </c>
      <c r="AH158">
        <v>3.178879310344831</v>
      </c>
      <c r="AI158">
        <v>3.3258173618940274</v>
      </c>
      <c r="AJ158">
        <v>-7.2546972860125294</v>
      </c>
      <c r="AK158">
        <v>-5.6958624395486268</v>
      </c>
      <c r="AL158">
        <v>-11.822125813449031</v>
      </c>
      <c r="AM158">
        <v>-6.6164604626143149</v>
      </c>
      <c r="AN158">
        <v>-4.8165137614678928</v>
      </c>
      <c r="AO158">
        <v>22.939842059644487</v>
      </c>
      <c r="AP158">
        <v>-2.5205158264947145</v>
      </c>
      <c r="AQ158">
        <v>0.1744186046511694</v>
      </c>
      <c r="AR158">
        <v>-3.5871964679911703</v>
      </c>
      <c r="AS158">
        <v>-3.0028328611898081</v>
      </c>
      <c r="AT158">
        <v>2.668034889687013</v>
      </c>
      <c r="AU158">
        <v>-4.0828062104657814</v>
      </c>
      <c r="AV158">
        <v>-1.4614952220348478</v>
      </c>
      <c r="BL158" s="2">
        <v>1.411835386001816</v>
      </c>
      <c r="BM158" s="2">
        <v>-1.6592214422463269</v>
      </c>
      <c r="BN158" s="2">
        <v>-1.8987341772151847</v>
      </c>
      <c r="BO158" s="2">
        <v>-1.035953686776349</v>
      </c>
      <c r="BP158" s="2">
        <v>0.48602673147023778</v>
      </c>
      <c r="BQ158" s="2">
        <v>-2.005730659025788</v>
      </c>
      <c r="BR158" s="2">
        <v>-13.9271653543307</v>
      </c>
      <c r="BS158" s="2">
        <v>0.36563071297988686</v>
      </c>
      <c r="BT158" s="2">
        <v>-1.2376237623762376</v>
      </c>
      <c r="BU158" s="2">
        <v>1.9294377067254687</v>
      </c>
      <c r="BV158" s="2">
        <v>5.4258675078864318</v>
      </c>
      <c r="BW158" s="2">
        <v>-1.2979989183342378</v>
      </c>
      <c r="BX158" s="2">
        <v>-2.3661971830985848</v>
      </c>
      <c r="BY158" s="2">
        <v>6.8073878627968361</v>
      </c>
      <c r="BZ158" s="2">
        <v>3.2941176470588203</v>
      </c>
      <c r="CA158" s="2">
        <v>8.0179602309172537</v>
      </c>
      <c r="CB158" s="2">
        <v>4.0524433849821104</v>
      </c>
      <c r="CC158" s="2">
        <v>2.5450031036623182</v>
      </c>
      <c r="CD158" s="2">
        <v>0</v>
      </c>
      <c r="CE158" s="2">
        <v>1.1642156862745132</v>
      </c>
      <c r="CF158" s="2">
        <v>0.11890606420928482</v>
      </c>
      <c r="CG158" s="2">
        <v>2.7630805408583288</v>
      </c>
      <c r="CH158" s="2">
        <v>1.6343825665859668</v>
      </c>
      <c r="CI158" s="2">
        <v>-1.7215189873417751</v>
      </c>
      <c r="CJ158" s="2">
        <v>2.2588522588522517</v>
      </c>
      <c r="CK158" s="2">
        <v>0.52693208430912009</v>
      </c>
    </row>
    <row r="159" spans="1:89" x14ac:dyDescent="0.35">
      <c r="A159">
        <v>2021</v>
      </c>
      <c r="B159" t="s">
        <v>38</v>
      </c>
      <c r="C159" s="29">
        <v>441.49999999999994</v>
      </c>
      <c r="D159" s="29">
        <v>607.6</v>
      </c>
      <c r="E159" s="29">
        <v>542.79999999999995</v>
      </c>
      <c r="F159" s="29">
        <v>468.8</v>
      </c>
      <c r="G159" s="29">
        <v>494.70000000000005</v>
      </c>
      <c r="H159" s="29">
        <v>476.29999999999995</v>
      </c>
      <c r="I159" s="29">
        <v>498.4</v>
      </c>
      <c r="J159" s="29">
        <v>345.79999999999995</v>
      </c>
      <c r="K159" s="29">
        <v>504</v>
      </c>
      <c r="L159" s="29">
        <v>477.8</v>
      </c>
      <c r="M159" s="29">
        <v>517.4</v>
      </c>
      <c r="N159" s="29">
        <v>489.29999999999995</v>
      </c>
      <c r="O159" s="29">
        <v>546.29999999999995</v>
      </c>
      <c r="P159" s="29">
        <v>484.8</v>
      </c>
      <c r="Q159" s="29">
        <v>452.2</v>
      </c>
      <c r="R159" s="29">
        <v>480.09999999999997</v>
      </c>
      <c r="S159" s="29">
        <v>463.8</v>
      </c>
      <c r="T159" s="29">
        <v>460.25509999999997</v>
      </c>
      <c r="U159" s="29">
        <v>466</v>
      </c>
      <c r="V159" s="29">
        <v>476.2</v>
      </c>
      <c r="W159" s="29">
        <v>496.8</v>
      </c>
      <c r="X159" s="29">
        <v>486.59999999999997</v>
      </c>
      <c r="Y159" s="29">
        <v>575.5</v>
      </c>
      <c r="Z159" s="29">
        <v>472.5</v>
      </c>
      <c r="AA159" s="29">
        <v>483.8</v>
      </c>
      <c r="AD159">
        <v>-5.8858151854028443E-2</v>
      </c>
      <c r="AE159">
        <v>-1.2155591572123177</v>
      </c>
      <c r="AF159">
        <v>1.7820773930753562</v>
      </c>
      <c r="AG159">
        <v>5.1361386138613936</v>
      </c>
      <c r="AH159">
        <v>-1.6710182767623962</v>
      </c>
      <c r="AI159">
        <v>-2.0185488270594747</v>
      </c>
      <c r="AJ159">
        <v>4.9521665728756394</v>
      </c>
      <c r="AK159">
        <v>3.6467236467236499</v>
      </c>
      <c r="AL159">
        <v>7.8105781057810688</v>
      </c>
      <c r="AM159">
        <v>4.2626728110599119</v>
      </c>
      <c r="AN159">
        <v>2.6506024096385574</v>
      </c>
      <c r="AO159">
        <v>0</v>
      </c>
      <c r="AP159">
        <v>1.1425135297654703</v>
      </c>
      <c r="AQ159">
        <v>-0.11607661056298145</v>
      </c>
      <c r="AR159">
        <v>2.2896393817973668</v>
      </c>
      <c r="AS159">
        <v>1.2850467289719727</v>
      </c>
      <c r="AT159">
        <v>-1.8990504747626102</v>
      </c>
      <c r="AU159">
        <v>2.2182254196642619</v>
      </c>
      <c r="AV159">
        <v>0.79863091842554312</v>
      </c>
      <c r="BL159" s="2">
        <v>1.3625592417061509</v>
      </c>
      <c r="BM159" s="2">
        <v>-0.19467878001296754</v>
      </c>
      <c r="BN159" s="2">
        <v>9.2165898617506278E-2</v>
      </c>
      <c r="BO159" s="2">
        <v>4.4334975369458052</v>
      </c>
      <c r="BP159" s="2">
        <v>-0.30229746070133012</v>
      </c>
      <c r="BQ159" s="2">
        <v>-3.0409356725146131</v>
      </c>
      <c r="BR159" s="2">
        <v>-4.3453401943967949</v>
      </c>
      <c r="BS159" s="2">
        <v>-6.0716454159073667E-2</v>
      </c>
      <c r="BT159" s="2">
        <v>-0.50125313283208728</v>
      </c>
      <c r="BU159" s="2">
        <v>2.1633315305570577</v>
      </c>
      <c r="BV159" s="2">
        <v>4.2489527229204036</v>
      </c>
      <c r="BW159" s="2">
        <v>-0.32876712328766811</v>
      </c>
      <c r="BX159" s="2">
        <v>-0.51933064050779321</v>
      </c>
      <c r="BY159" s="2">
        <v>2.8162055335968321</v>
      </c>
      <c r="BZ159" s="2">
        <v>2.9043280182232314</v>
      </c>
      <c r="CA159" s="2">
        <v>6.1163895486935766</v>
      </c>
      <c r="CB159" s="2">
        <v>3.3218785796105452</v>
      </c>
      <c r="CC159" s="2">
        <v>3.0871670702179315</v>
      </c>
      <c r="CD159" s="2">
        <v>-16.862626865671643</v>
      </c>
      <c r="CE159" s="2">
        <v>1.7565112053301066</v>
      </c>
      <c r="CF159" s="2">
        <v>0.65320665083135054</v>
      </c>
      <c r="CG159" s="2">
        <v>1.9450800915331676</v>
      </c>
      <c r="CH159" s="2">
        <v>2.7992852888624116</v>
      </c>
      <c r="CI159" s="2">
        <v>-0.61823802163832497</v>
      </c>
      <c r="CJ159" s="2">
        <v>2.0895522388059704</v>
      </c>
      <c r="CK159" s="2">
        <v>1.1065812463599336</v>
      </c>
    </row>
    <row r="160" spans="1:89" x14ac:dyDescent="0.35">
      <c r="A160">
        <v>2021</v>
      </c>
      <c r="B160" t="s">
        <v>39</v>
      </c>
      <c r="C160" s="29">
        <v>440.6</v>
      </c>
      <c r="D160" s="29">
        <v>622.20000000000005</v>
      </c>
      <c r="E160" s="29">
        <v>547.59999999999991</v>
      </c>
      <c r="F160" s="29">
        <v>472.79999999999995</v>
      </c>
      <c r="G160" s="29">
        <v>492.5</v>
      </c>
      <c r="H160" s="29">
        <v>503.40000000000003</v>
      </c>
      <c r="I160" s="29">
        <v>492.29999999999995</v>
      </c>
      <c r="J160" s="29">
        <v>344.1</v>
      </c>
      <c r="K160" s="29">
        <v>503.5</v>
      </c>
      <c r="L160" s="29">
        <v>480.5</v>
      </c>
      <c r="M160" s="29">
        <v>516.70000000000005</v>
      </c>
      <c r="N160" s="29">
        <v>493.6</v>
      </c>
      <c r="O160" s="29">
        <v>541.4</v>
      </c>
      <c r="P160" s="29">
        <v>486.7</v>
      </c>
      <c r="Q160" s="29">
        <v>456.1</v>
      </c>
      <c r="R160" s="29">
        <v>482.20000000000005</v>
      </c>
      <c r="S160" s="29">
        <v>466.8</v>
      </c>
      <c r="T160" s="29">
        <v>462.25509999999997</v>
      </c>
      <c r="U160" s="29">
        <v>467.2</v>
      </c>
      <c r="V160" s="29">
        <v>480.1</v>
      </c>
      <c r="W160" s="29">
        <v>498.9</v>
      </c>
      <c r="X160" s="29">
        <v>490.7</v>
      </c>
      <c r="Y160" s="29">
        <v>576.4</v>
      </c>
      <c r="Z160" s="29">
        <v>476.8</v>
      </c>
      <c r="AA160" s="29">
        <v>487.5</v>
      </c>
      <c r="AD160">
        <v>0.23557126030622921</v>
      </c>
      <c r="AE160">
        <v>-0.32813781788351576</v>
      </c>
      <c r="AF160">
        <v>2.4512256128064061</v>
      </c>
      <c r="AG160">
        <v>3.8257798705120658</v>
      </c>
      <c r="AH160">
        <v>-0.74349442379182451</v>
      </c>
      <c r="AI160">
        <v>-1.6703786191536749</v>
      </c>
      <c r="AJ160">
        <v>4.0214477211796247</v>
      </c>
      <c r="AK160">
        <v>2.9136888400219805</v>
      </c>
      <c r="AL160">
        <v>5.647461494580706</v>
      </c>
      <c r="AM160">
        <v>3.2596685082872958</v>
      </c>
      <c r="AN160">
        <v>2.9929577464788699</v>
      </c>
      <c r="AO160">
        <v>-18.659404205607473</v>
      </c>
      <c r="AP160">
        <v>1.5457788347205843</v>
      </c>
      <c r="AQ160">
        <v>0.75537478210343489</v>
      </c>
      <c r="AR160">
        <v>2.0145495243424865</v>
      </c>
      <c r="AS160">
        <v>2.0184544405997693</v>
      </c>
      <c r="AT160">
        <v>-0.40753948038716831</v>
      </c>
      <c r="AU160">
        <v>2.4046920821114335</v>
      </c>
      <c r="AV160">
        <v>0.62252405206566086</v>
      </c>
      <c r="BL160" s="2">
        <v>-2.951490356516647</v>
      </c>
      <c r="BM160" s="2">
        <v>2.4057217165149467</v>
      </c>
      <c r="BN160" s="2">
        <v>2.854511970534078</v>
      </c>
      <c r="BO160" s="2">
        <v>1.8867924528301987</v>
      </c>
      <c r="BP160" s="2">
        <v>0.3032140691328078</v>
      </c>
      <c r="BQ160" s="2">
        <v>5.0060313630880477</v>
      </c>
      <c r="BR160" s="2">
        <v>26.419605499103398</v>
      </c>
      <c r="BS160" s="2">
        <v>-0.60753341433778862</v>
      </c>
      <c r="BT160" s="2">
        <v>1.9311502938707066</v>
      </c>
      <c r="BU160" s="2">
        <v>-2.8586553732133435</v>
      </c>
      <c r="BV160" s="2">
        <v>-8.66819747416762</v>
      </c>
      <c r="BW160" s="2">
        <v>2.4189114898295796</v>
      </c>
      <c r="BX160" s="2">
        <v>4.0023201856148525</v>
      </c>
      <c r="BY160" s="2">
        <v>-9.3704949543488709</v>
      </c>
      <c r="BZ160" s="2">
        <v>-5.0359712230215798</v>
      </c>
      <c r="CA160" s="2">
        <v>-11.919418019026292</v>
      </c>
      <c r="CB160" s="2">
        <v>-6.0975609756097562</v>
      </c>
      <c r="CC160" s="2">
        <v>-4.8150322959483365</v>
      </c>
      <c r="CD160" s="2">
        <v>19.780173221662984</v>
      </c>
      <c r="CE160" s="2">
        <v>-2.3214285714285752</v>
      </c>
      <c r="CF160" s="2">
        <v>-0.17699115044248456</v>
      </c>
      <c r="CG160" s="2">
        <v>-4.0965207631874199</v>
      </c>
      <c r="CH160" s="2">
        <v>-3.5341830822711437</v>
      </c>
      <c r="CI160" s="2">
        <v>2.7993779160186656</v>
      </c>
      <c r="CJ160" s="2">
        <v>-4.2105263157894672</v>
      </c>
      <c r="CK160" s="2">
        <v>-1.2672811059907769</v>
      </c>
    </row>
    <row r="161" spans="1:89" x14ac:dyDescent="0.35">
      <c r="A161">
        <v>2021</v>
      </c>
      <c r="B161" t="s">
        <v>40</v>
      </c>
      <c r="C161" s="29">
        <v>440.80000000000007</v>
      </c>
      <c r="D161" s="29">
        <v>613.70000000000005</v>
      </c>
      <c r="E161" s="29">
        <v>523.40000000000009</v>
      </c>
      <c r="F161" s="29">
        <v>475.1</v>
      </c>
      <c r="G161" s="29">
        <v>473.8</v>
      </c>
      <c r="H161" s="29">
        <v>499.40000000000003</v>
      </c>
      <c r="I161" s="29">
        <v>491.4</v>
      </c>
      <c r="J161" s="29">
        <v>355.3</v>
      </c>
      <c r="K161" s="29">
        <v>504.8</v>
      </c>
      <c r="L161" s="29">
        <v>485.09999999999997</v>
      </c>
      <c r="M161" s="29">
        <v>520.9</v>
      </c>
      <c r="N161" s="29">
        <v>493.1</v>
      </c>
      <c r="O161" s="29">
        <v>553.9</v>
      </c>
      <c r="P161" s="29">
        <v>491.3</v>
      </c>
      <c r="Q161" s="29">
        <v>461.5</v>
      </c>
      <c r="R161" s="29">
        <v>486.8</v>
      </c>
      <c r="S161" s="29">
        <v>471.6</v>
      </c>
      <c r="T161" s="29">
        <v>463.45510000000002</v>
      </c>
      <c r="U161" s="29">
        <v>472.4</v>
      </c>
      <c r="V161" s="29">
        <v>479.9</v>
      </c>
      <c r="W161" s="29">
        <v>502.29999999999995</v>
      </c>
      <c r="X161" s="29">
        <v>491.7</v>
      </c>
      <c r="Y161" s="29">
        <v>578.79999999999995</v>
      </c>
      <c r="Z161" s="29">
        <v>479.3</v>
      </c>
      <c r="AA161" s="29">
        <v>489.09999999999997</v>
      </c>
      <c r="AD161">
        <v>0.47003525264395507</v>
      </c>
      <c r="AE161">
        <v>1.5637860082304573</v>
      </c>
      <c r="AF161">
        <v>-2.9296875</v>
      </c>
      <c r="AG161">
        <v>-8.1065759637188268</v>
      </c>
      <c r="AH161">
        <v>2.9427501337613697</v>
      </c>
      <c r="AI161">
        <v>2.6613816534541432</v>
      </c>
      <c r="AJ161">
        <v>-7.216494845360824</v>
      </c>
      <c r="AK161">
        <v>-5.6089743589743595</v>
      </c>
      <c r="AL161">
        <v>-11.717062634989194</v>
      </c>
      <c r="AM161">
        <v>-6.5275548421615923</v>
      </c>
      <c r="AN161">
        <v>-4.9002849002848974</v>
      </c>
      <c r="AO161">
        <v>23.370705992096529</v>
      </c>
      <c r="AP161">
        <v>-2.4004683840749546</v>
      </c>
      <c r="AQ161">
        <v>0.23068050749711974</v>
      </c>
      <c r="AR161">
        <v>-3.5655512890839272</v>
      </c>
      <c r="AS161">
        <v>-3.0525720746184315</v>
      </c>
      <c r="AT161">
        <v>2.60869565217391</v>
      </c>
      <c r="AU161">
        <v>-4.1237113402061789</v>
      </c>
      <c r="AV161">
        <v>-2.0809898762654764</v>
      </c>
      <c r="BL161" s="2">
        <v>1.505570611261668</v>
      </c>
      <c r="BM161" s="2">
        <v>-1.5873015873015872</v>
      </c>
      <c r="BN161" s="2">
        <v>-1.7905102954341987</v>
      </c>
      <c r="BO161" s="2">
        <v>-1.1574074074074074</v>
      </c>
      <c r="BP161" s="2">
        <v>0.60459492140266025</v>
      </c>
      <c r="BQ161" s="2">
        <v>-2.5272831705916174</v>
      </c>
      <c r="BR161" s="2">
        <v>-13.806146572104014</v>
      </c>
      <c r="BS161" s="2">
        <v>0.42787286063570729</v>
      </c>
      <c r="BT161" s="2">
        <v>-1.2355848434925865</v>
      </c>
      <c r="BU161" s="2">
        <v>1.9618528610354193</v>
      </c>
      <c r="BV161" s="2">
        <v>5.5311125078567009</v>
      </c>
      <c r="BW161" s="2">
        <v>-1.2882447665056391</v>
      </c>
      <c r="BX161" s="2">
        <v>-2.4539877300613528</v>
      </c>
      <c r="BY161" s="2">
        <v>6.5217391304347894</v>
      </c>
      <c r="BZ161" s="2">
        <v>3.2051282051282057</v>
      </c>
      <c r="CA161" s="2">
        <v>7.941550190597205</v>
      </c>
      <c r="CB161" s="2">
        <v>3.8961038961038925</v>
      </c>
      <c r="CC161" s="2">
        <v>2.6526835286860035</v>
      </c>
      <c r="CD161" s="2">
        <v>0</v>
      </c>
      <c r="CE161" s="2">
        <v>1.0359536867763663</v>
      </c>
      <c r="CF161" s="2">
        <v>0.11820330969268147</v>
      </c>
      <c r="CG161" s="2">
        <v>2.6331187829139848</v>
      </c>
      <c r="CH161" s="2">
        <v>1.5015015015015014</v>
      </c>
      <c r="CI161" s="2">
        <v>-2.0171457387796266</v>
      </c>
      <c r="CJ161" s="2">
        <v>2.2588522588522517</v>
      </c>
      <c r="CK161" s="2">
        <v>0.70011668611434574</v>
      </c>
    </row>
    <row r="162" spans="1:89" x14ac:dyDescent="0.35">
      <c r="A162">
        <v>2021</v>
      </c>
      <c r="B162" t="s">
        <v>41</v>
      </c>
      <c r="C162" s="29">
        <v>441.30000000000007</v>
      </c>
      <c r="D162" s="29">
        <v>613.5</v>
      </c>
      <c r="E162" s="29">
        <v>518.90000000000009</v>
      </c>
      <c r="F162" s="29">
        <v>475.5</v>
      </c>
      <c r="G162" s="29">
        <v>470.59999999999997</v>
      </c>
      <c r="H162" s="29">
        <v>497.2</v>
      </c>
      <c r="I162" s="29">
        <v>492.5</v>
      </c>
      <c r="J162" s="29">
        <v>359.4</v>
      </c>
      <c r="K162" s="29">
        <v>505.09999999999997</v>
      </c>
      <c r="L162" s="29">
        <v>485.8</v>
      </c>
      <c r="M162" s="29">
        <v>521.79999999999995</v>
      </c>
      <c r="N162" s="29">
        <v>493.4</v>
      </c>
      <c r="O162" s="29">
        <v>558.5</v>
      </c>
      <c r="P162" s="29">
        <v>492.1</v>
      </c>
      <c r="Q162" s="29">
        <v>462.5</v>
      </c>
      <c r="R162" s="29">
        <v>487.8</v>
      </c>
      <c r="S162" s="29">
        <v>472.1</v>
      </c>
      <c r="T162" s="29">
        <v>463.45510000000002</v>
      </c>
      <c r="U162" s="29">
        <v>474.3</v>
      </c>
      <c r="V162" s="29">
        <v>479.79999999999995</v>
      </c>
      <c r="W162" s="29">
        <v>503.1</v>
      </c>
      <c r="X162" s="29">
        <v>492.5</v>
      </c>
      <c r="Y162" s="29">
        <v>579.1</v>
      </c>
      <c r="Z162" s="29">
        <v>479.8</v>
      </c>
      <c r="AA162" s="29">
        <v>489.5</v>
      </c>
      <c r="AD162">
        <v>-0.29239766081871343</v>
      </c>
      <c r="AE162">
        <v>-1.0534846029173512</v>
      </c>
      <c r="AF162">
        <v>2.0120724346076457</v>
      </c>
      <c r="AG162">
        <v>5.1202961135101859</v>
      </c>
      <c r="AH162">
        <v>-1.5072765072765102</v>
      </c>
      <c r="AI162">
        <v>-1.6547159404302261</v>
      </c>
      <c r="AJ162">
        <v>4.9444444444444482</v>
      </c>
      <c r="AK162">
        <v>3.6219581211092282</v>
      </c>
      <c r="AL162">
        <v>7.76758409785932</v>
      </c>
      <c r="AM162">
        <v>4.235832856325132</v>
      </c>
      <c r="AN162">
        <v>2.6962252846015575</v>
      </c>
      <c r="AO162">
        <v>0</v>
      </c>
      <c r="AP162">
        <v>1.0797840431913686</v>
      </c>
      <c r="AQ162">
        <v>-0.11507479861911221</v>
      </c>
      <c r="AR162">
        <v>2.2753128555176336</v>
      </c>
      <c r="AS162">
        <v>1.2827988338192353</v>
      </c>
      <c r="AT162">
        <v>-1.8444666001993963</v>
      </c>
      <c r="AU162">
        <v>2.2102747909199456</v>
      </c>
      <c r="AV162">
        <v>1.3785180930499745</v>
      </c>
      <c r="BL162" s="2">
        <v>2.6105013349154418</v>
      </c>
      <c r="BM162" s="2">
        <v>0.1290322580645088</v>
      </c>
      <c r="BN162" s="2">
        <v>-3.9197812215132153</v>
      </c>
      <c r="BO162" s="2">
        <v>2.0491803278688523</v>
      </c>
      <c r="BP162" s="2">
        <v>-0.36057692307691963</v>
      </c>
      <c r="BQ162" s="2">
        <v>-5.8927519151440386E-2</v>
      </c>
      <c r="BR162" s="2">
        <v>-7.5150850246845948</v>
      </c>
      <c r="BS162" s="2">
        <v>6.0864272671938099E-2</v>
      </c>
      <c r="BT162" s="2">
        <v>-0.5838198498748981</v>
      </c>
      <c r="BU162" s="2">
        <v>2.5120256547300999</v>
      </c>
      <c r="BV162" s="2">
        <v>3.930911256700413</v>
      </c>
      <c r="BW162" s="2">
        <v>-0.4350190320826598</v>
      </c>
      <c r="BX162" s="2">
        <v>-1.3722126929674132</v>
      </c>
      <c r="BY162" s="2">
        <v>0.64708810353408808</v>
      </c>
      <c r="BZ162" s="2">
        <v>2.7667984189723356</v>
      </c>
      <c r="CA162" s="2">
        <v>6.1212477928193083</v>
      </c>
      <c r="CB162" s="2">
        <v>3.2386363636363575</v>
      </c>
      <c r="CC162" s="2">
        <v>2.9447115384615419</v>
      </c>
      <c r="CD162" s="2">
        <v>-16.513729016786577</v>
      </c>
      <c r="CE162" s="2">
        <v>1.6887816646562019</v>
      </c>
      <c r="CF162" s="2">
        <v>0.17709563164107611</v>
      </c>
      <c r="CG162" s="2">
        <v>1.9384264538198435</v>
      </c>
      <c r="CH162" s="2">
        <v>3.3727810650887506</v>
      </c>
      <c r="CI162" s="2">
        <v>-0.56613484302625972</v>
      </c>
      <c r="CJ162" s="2">
        <v>2.5671641791044841</v>
      </c>
      <c r="CK162" s="2">
        <v>0.98493626882967389</v>
      </c>
    </row>
    <row r="163" spans="1:89" x14ac:dyDescent="0.35">
      <c r="A163">
        <v>2021</v>
      </c>
      <c r="B163" t="s">
        <v>42</v>
      </c>
      <c r="C163" s="29">
        <v>443.6</v>
      </c>
      <c r="D163" s="29">
        <v>615.5</v>
      </c>
      <c r="E163" s="29">
        <v>514.29999999999995</v>
      </c>
      <c r="F163" s="29">
        <v>476.3</v>
      </c>
      <c r="G163" s="29">
        <v>467.59999999999997</v>
      </c>
      <c r="H163" s="29">
        <v>570.1</v>
      </c>
      <c r="I163" s="29">
        <v>495.7</v>
      </c>
      <c r="J163" s="29">
        <v>366</v>
      </c>
      <c r="K163" s="29">
        <v>506.7</v>
      </c>
      <c r="L163" s="29">
        <v>487.40000000000003</v>
      </c>
      <c r="M163" s="29">
        <v>524.20000000000005</v>
      </c>
      <c r="N163" s="29">
        <v>504.7</v>
      </c>
      <c r="O163" s="29">
        <v>566</v>
      </c>
      <c r="P163" s="29">
        <v>495.40000000000003</v>
      </c>
      <c r="Q163" s="29">
        <v>465.50000000000006</v>
      </c>
      <c r="R163" s="29">
        <v>490.90000000000003</v>
      </c>
      <c r="S163" s="29">
        <v>474.70000000000005</v>
      </c>
      <c r="T163" s="29">
        <v>466.45510000000002</v>
      </c>
      <c r="U163" s="29">
        <v>476.9</v>
      </c>
      <c r="V163" s="29">
        <v>482.2</v>
      </c>
      <c r="W163" s="29">
        <v>505.1</v>
      </c>
      <c r="X163" s="29">
        <v>493.20000000000005</v>
      </c>
      <c r="Y163" s="29">
        <v>580.9</v>
      </c>
      <c r="Z163" s="29">
        <v>482.7</v>
      </c>
      <c r="AA163" s="29">
        <v>496.4</v>
      </c>
      <c r="AD163">
        <v>0</v>
      </c>
      <c r="AE163">
        <v>-0.73710073710073021</v>
      </c>
      <c r="AF163">
        <v>2.317554240631158</v>
      </c>
      <c r="AG163">
        <v>3.7558685446009425</v>
      </c>
      <c r="AH163">
        <v>-0.94986807387863403</v>
      </c>
      <c r="AI163">
        <v>-2.1873247335950676</v>
      </c>
      <c r="AJ163">
        <v>2.6469031233456857</v>
      </c>
      <c r="AK163">
        <v>2.7307482250136537</v>
      </c>
      <c r="AL163">
        <v>5.5051078320090907</v>
      </c>
      <c r="AM163">
        <v>3.1301482701812287</v>
      </c>
      <c r="AN163">
        <v>2.9171528588098017</v>
      </c>
      <c r="AO163">
        <v>-18.943480791618168</v>
      </c>
      <c r="AP163">
        <v>1.6023738872403492</v>
      </c>
      <c r="AQ163">
        <v>1.2096774193548356</v>
      </c>
      <c r="AR163">
        <v>2.0578420467185699</v>
      </c>
      <c r="AS163">
        <v>2.0725388601036401</v>
      </c>
      <c r="AT163">
        <v>-0.50787201625190448</v>
      </c>
      <c r="AU163">
        <v>2.5715955581531302</v>
      </c>
      <c r="AV163">
        <v>0.33994334277620075</v>
      </c>
      <c r="BL163" s="2">
        <v>-2.6019080659150045</v>
      </c>
      <c r="BM163" s="2">
        <v>2.6417525773196027</v>
      </c>
      <c r="BN163" s="2">
        <v>2.988614800759005</v>
      </c>
      <c r="BO163" s="2">
        <v>1.3195639701663699</v>
      </c>
      <c r="BP163" s="2">
        <v>0.30156815440289503</v>
      </c>
      <c r="BQ163" s="2">
        <v>5.8372641509433993</v>
      </c>
      <c r="BR163" s="2">
        <v>23.665480427046269</v>
      </c>
      <c r="BS163" s="2">
        <v>-0.24330900243309345</v>
      </c>
      <c r="BT163" s="2">
        <v>1.9295302013422795</v>
      </c>
      <c r="BU163" s="2">
        <v>-2.8675703858185608</v>
      </c>
      <c r="BV163" s="2">
        <v>-8.4240687679083042</v>
      </c>
      <c r="BW163" s="2">
        <v>2.5122883670125584</v>
      </c>
      <c r="BX163" s="2">
        <v>4.0000000000000036</v>
      </c>
      <c r="BY163" s="2">
        <v>-8.6053412462907897</v>
      </c>
      <c r="BZ163" s="2">
        <v>-5.1098901098901157</v>
      </c>
      <c r="CA163" s="2">
        <v>-11.980033277870227</v>
      </c>
      <c r="CB163" s="2">
        <v>-6.1089708310401729</v>
      </c>
      <c r="CC163" s="2">
        <v>-4.7869235259778264</v>
      </c>
      <c r="CD163" s="2">
        <v>20.498279775749694</v>
      </c>
      <c r="CE163" s="2">
        <v>-2.3724792408066429</v>
      </c>
      <c r="CF163" s="2">
        <v>5.8927519151457122E-2</v>
      </c>
      <c r="CG163" s="2">
        <v>-3.9709172259507959</v>
      </c>
      <c r="CH163" s="2">
        <v>-3.2054951345163105</v>
      </c>
      <c r="CI163" s="2">
        <v>2.7950310559006244</v>
      </c>
      <c r="CJ163" s="2">
        <v>-4.1327124563446</v>
      </c>
      <c r="CK163" s="2">
        <v>-1.1474469305794606</v>
      </c>
    </row>
    <row r="164" spans="1:89" x14ac:dyDescent="0.35">
      <c r="A164">
        <v>2021</v>
      </c>
      <c r="B164" t="s">
        <v>44</v>
      </c>
      <c r="C164" s="29">
        <v>446.09999999999997</v>
      </c>
      <c r="D164" s="29">
        <v>606.30000000000007</v>
      </c>
      <c r="E164" s="29">
        <v>519.9</v>
      </c>
      <c r="F164" s="29">
        <v>478</v>
      </c>
      <c r="G164" s="29">
        <v>470</v>
      </c>
      <c r="H164" s="29">
        <v>612.20000000000005</v>
      </c>
      <c r="I164" s="29">
        <v>495.8</v>
      </c>
      <c r="J164" s="29">
        <v>367.6</v>
      </c>
      <c r="K164" s="29">
        <v>507.6</v>
      </c>
      <c r="L164" s="29">
        <v>488.9</v>
      </c>
      <c r="M164" s="29">
        <v>526.6</v>
      </c>
      <c r="N164" s="29">
        <v>510.7</v>
      </c>
      <c r="O164" s="29">
        <v>564.30000000000007</v>
      </c>
      <c r="P164" s="29">
        <v>499.90000000000003</v>
      </c>
      <c r="Q164" s="29">
        <v>468.70000000000005</v>
      </c>
      <c r="R164" s="29">
        <v>495.3</v>
      </c>
      <c r="S164" s="29">
        <v>477.40000000000003</v>
      </c>
      <c r="T164" s="29">
        <v>467.6551</v>
      </c>
      <c r="U164" s="29">
        <v>480.3</v>
      </c>
      <c r="V164" s="29">
        <v>486.40000000000003</v>
      </c>
      <c r="W164" s="29">
        <v>507.5</v>
      </c>
      <c r="X164" s="29">
        <v>494.40000000000003</v>
      </c>
      <c r="Y164" s="29">
        <v>581.29999999999995</v>
      </c>
      <c r="Z164" s="29">
        <v>483.9</v>
      </c>
      <c r="AA164" s="29">
        <v>499.9</v>
      </c>
      <c r="AD164">
        <v>0.4692082111437017</v>
      </c>
      <c r="AE164">
        <v>1.5676567656765605</v>
      </c>
      <c r="AF164">
        <v>-3.3734939759036147</v>
      </c>
      <c r="AG164">
        <v>-7.9185520361990944</v>
      </c>
      <c r="AH164">
        <v>2.9834842834310189</v>
      </c>
      <c r="AI164">
        <v>2.4082568807339384</v>
      </c>
      <c r="AJ164">
        <v>-7.632800412583812</v>
      </c>
      <c r="AK164">
        <v>-5.5289739500265851</v>
      </c>
      <c r="AL164">
        <v>-11.511565357719206</v>
      </c>
      <c r="AM164">
        <v>-6.4430244941427173</v>
      </c>
      <c r="AN164">
        <v>-5.1587301587301555</v>
      </c>
      <c r="AO164">
        <v>22.580788782601132</v>
      </c>
      <c r="AP164">
        <v>-2.3948598130841088</v>
      </c>
      <c r="AQ164">
        <v>0.17074558907228879</v>
      </c>
      <c r="AR164">
        <v>-3.4332425068119954</v>
      </c>
      <c r="AS164">
        <v>-3.102086858432036</v>
      </c>
      <c r="AT164">
        <v>2.6544155181214846</v>
      </c>
      <c r="AU164">
        <v>-4.1595441595441658</v>
      </c>
      <c r="AV164">
        <v>-1.6939582156973461</v>
      </c>
      <c r="BL164" s="2">
        <v>1.2763431285247884</v>
      </c>
      <c r="BM164" s="2">
        <v>-1.7576898932831204</v>
      </c>
      <c r="BN164" s="2">
        <v>-1.8885306310455985</v>
      </c>
      <c r="BO164" s="2">
        <v>-0.79275198187995799</v>
      </c>
      <c r="BP164" s="2">
        <v>0.48105832832229878</v>
      </c>
      <c r="BQ164" s="2">
        <v>-2.952646239554324</v>
      </c>
      <c r="BR164" s="2">
        <v>-12.661870503597125</v>
      </c>
      <c r="BS164" s="2">
        <v>0.18292682926829962</v>
      </c>
      <c r="BT164" s="2">
        <v>-1.2345679012345678</v>
      </c>
      <c r="BU164" s="2">
        <v>1.9860440150295162</v>
      </c>
      <c r="BV164" s="2">
        <v>5.3817271589486824</v>
      </c>
      <c r="BW164" s="2">
        <v>-1.3319126265316996</v>
      </c>
      <c r="BX164" s="2">
        <v>-2.4526198439241949</v>
      </c>
      <c r="BY164" s="2">
        <v>5.9523809523809517</v>
      </c>
      <c r="BZ164" s="2">
        <v>3.2426172553561221</v>
      </c>
      <c r="CA164" s="2">
        <v>7.9395085066162716</v>
      </c>
      <c r="CB164" s="2">
        <v>3.9273153575615574</v>
      </c>
      <c r="CC164" s="2">
        <v>2.6364193746168065</v>
      </c>
      <c r="CD164" s="2">
        <v>0</v>
      </c>
      <c r="CE164" s="2">
        <v>1.0328068043742511</v>
      </c>
      <c r="CF164" s="2">
        <v>-5.8892815076574047E-2</v>
      </c>
      <c r="CG164" s="2">
        <v>2.562609202096684</v>
      </c>
      <c r="CH164" s="2">
        <v>1.360141927853348</v>
      </c>
      <c r="CI164" s="2">
        <v>-2.0140986908358509</v>
      </c>
      <c r="CJ164" s="2">
        <v>2.2465088038858636</v>
      </c>
      <c r="CK164" s="2">
        <v>0.63842135809634026</v>
      </c>
    </row>
    <row r="165" spans="1:89" x14ac:dyDescent="0.35">
      <c r="A165">
        <v>2021</v>
      </c>
      <c r="B165" t="s">
        <v>45</v>
      </c>
      <c r="C165" s="29">
        <v>447.7</v>
      </c>
      <c r="D165" s="29">
        <v>598</v>
      </c>
      <c r="E165" s="29">
        <v>534.4</v>
      </c>
      <c r="F165" s="29">
        <v>479.70000000000005</v>
      </c>
      <c r="G165" s="29">
        <v>465.20000000000005</v>
      </c>
      <c r="H165" s="29">
        <v>580.1</v>
      </c>
      <c r="I165" s="29">
        <v>493.1</v>
      </c>
      <c r="J165" s="29">
        <v>363.5</v>
      </c>
      <c r="K165" s="29">
        <v>510.4</v>
      </c>
      <c r="L165" s="29">
        <v>490.4</v>
      </c>
      <c r="M165" s="29">
        <v>529.79999999999995</v>
      </c>
      <c r="N165" s="29">
        <v>506.2</v>
      </c>
      <c r="O165" s="29">
        <v>556.9</v>
      </c>
      <c r="P165" s="29">
        <v>503.6</v>
      </c>
      <c r="Q165" s="29">
        <v>472.7</v>
      </c>
      <c r="R165" s="29">
        <v>498.9</v>
      </c>
      <c r="S165" s="29">
        <v>480.09999999999997</v>
      </c>
      <c r="T165" s="29">
        <v>466.05510000000004</v>
      </c>
      <c r="U165" s="29">
        <v>482.70000000000005</v>
      </c>
      <c r="V165" s="29">
        <v>487.80000000000007</v>
      </c>
      <c r="W165" s="29">
        <v>509.70000000000005</v>
      </c>
      <c r="X165" s="29">
        <v>494.69999999999993</v>
      </c>
      <c r="Y165" s="29">
        <v>580</v>
      </c>
      <c r="Z165" s="29">
        <v>485.8</v>
      </c>
      <c r="AA165" s="29">
        <v>498.4</v>
      </c>
      <c r="AD165">
        <v>-0.29188558085230587</v>
      </c>
      <c r="AE165">
        <v>-1.0560519902518255</v>
      </c>
      <c r="AF165">
        <v>2.3441396508728123</v>
      </c>
      <c r="AG165">
        <v>5.0368550368550293</v>
      </c>
      <c r="AH165">
        <v>-1.5519917227108122</v>
      </c>
      <c r="AI165">
        <v>-1.5117581187010014</v>
      </c>
      <c r="AJ165">
        <v>5.2484645449469607</v>
      </c>
      <c r="AK165">
        <v>3.5453010692177891</v>
      </c>
      <c r="AL165">
        <v>7.598784194528875</v>
      </c>
      <c r="AM165">
        <v>4.1548093340922092</v>
      </c>
      <c r="AN165">
        <v>2.8690974297668754</v>
      </c>
      <c r="AO165">
        <v>0</v>
      </c>
      <c r="AP165">
        <v>1.0771992818671523</v>
      </c>
      <c r="AQ165">
        <v>-0.11363636363635717</v>
      </c>
      <c r="AR165">
        <v>2.2009029345372495</v>
      </c>
      <c r="AS165">
        <v>1.3387660069848561</v>
      </c>
      <c r="AT165">
        <v>-1.8896071606166003</v>
      </c>
      <c r="AU165">
        <v>2.2592152199762254</v>
      </c>
      <c r="AV165">
        <v>0.91901206203331087</v>
      </c>
      <c r="BL165" s="2">
        <v>1.3188745603751466</v>
      </c>
      <c r="BM165" s="2">
        <v>1.9169329073482428</v>
      </c>
      <c r="BN165" s="2">
        <v>-4.1784037558685476</v>
      </c>
      <c r="BO165" s="2">
        <v>-3.9383561643835487</v>
      </c>
      <c r="BP165" s="2">
        <v>-0.29922202274087373</v>
      </c>
      <c r="BQ165" s="2">
        <v>-2.8702640642939152</v>
      </c>
      <c r="BR165" s="2">
        <v>-4.9423393739703458</v>
      </c>
      <c r="BS165" s="2">
        <v>1.7041996348143535</v>
      </c>
      <c r="BT165" s="2">
        <v>0.16666666666666904</v>
      </c>
      <c r="BU165" s="2">
        <v>2.9473684210526288</v>
      </c>
      <c r="BV165" s="2">
        <v>3.8004750593824257</v>
      </c>
      <c r="BW165" s="2">
        <v>-0.64794816414686218</v>
      </c>
      <c r="BX165" s="2">
        <v>-0.62857142857142534</v>
      </c>
      <c r="BY165" s="2">
        <v>1.1746680286006042</v>
      </c>
      <c r="BZ165" s="2">
        <v>2.7481772293886579</v>
      </c>
      <c r="CA165" s="2">
        <v>6.0712200817279491</v>
      </c>
      <c r="CB165" s="2">
        <v>3.2148900169204673</v>
      </c>
      <c r="CC165" s="2">
        <v>2.9271206690561562</v>
      </c>
      <c r="CD165" s="2">
        <v>-17.011263408820028</v>
      </c>
      <c r="CE165" s="2">
        <v>1.8039687312086587</v>
      </c>
      <c r="CF165" s="2">
        <v>0.82498526812021555</v>
      </c>
      <c r="CG165" s="2">
        <v>1.873935264054521</v>
      </c>
      <c r="CH165" s="2">
        <v>2.5087514585764192</v>
      </c>
      <c r="CI165" s="2">
        <v>-0.46248715313463812</v>
      </c>
      <c r="CJ165" s="2">
        <v>2.4940617577197082</v>
      </c>
      <c r="CK165" s="2">
        <v>1.0957324106113064</v>
      </c>
    </row>
    <row r="166" spans="1:89" x14ac:dyDescent="0.35">
      <c r="A166">
        <v>2022</v>
      </c>
      <c r="B166" t="s">
        <v>31</v>
      </c>
      <c r="C166" s="29">
        <v>450</v>
      </c>
      <c r="D166" s="29">
        <v>597.70000000000005</v>
      </c>
      <c r="E166" s="29">
        <v>536.90000000000009</v>
      </c>
      <c r="F166" s="29">
        <v>481.4</v>
      </c>
      <c r="G166" s="29">
        <v>461.4</v>
      </c>
      <c r="H166" s="29">
        <v>537.09999999999991</v>
      </c>
      <c r="I166" s="29">
        <v>491.70000000000005</v>
      </c>
      <c r="J166" s="29">
        <v>360.6</v>
      </c>
      <c r="K166" s="29">
        <v>515.20000000000005</v>
      </c>
      <c r="L166" s="29">
        <v>490.7</v>
      </c>
      <c r="M166" s="29">
        <v>532.1</v>
      </c>
      <c r="N166" s="29">
        <v>500.79999999999995</v>
      </c>
      <c r="O166" s="29">
        <v>548.29999999999995</v>
      </c>
      <c r="P166" s="29">
        <v>507.79999999999995</v>
      </c>
      <c r="Q166" s="29">
        <v>478.5</v>
      </c>
      <c r="R166" s="29">
        <v>503.4</v>
      </c>
      <c r="S166" s="29">
        <v>482.80000000000007</v>
      </c>
      <c r="T166" s="29">
        <v>468.25509999999997</v>
      </c>
      <c r="U166" s="29">
        <v>484.5</v>
      </c>
      <c r="V166" s="29">
        <v>489</v>
      </c>
      <c r="W166" s="29">
        <v>512.19999999999993</v>
      </c>
      <c r="X166" s="29">
        <v>495.59999999999997</v>
      </c>
      <c r="Y166" s="29">
        <v>579.29999999999995</v>
      </c>
      <c r="Z166" s="29">
        <v>487.9</v>
      </c>
      <c r="AA166" s="29">
        <v>497.09999999999997</v>
      </c>
      <c r="AD166">
        <v>-5.8548009367694803E-2</v>
      </c>
      <c r="AE166">
        <v>-1.2315270935960592</v>
      </c>
      <c r="AF166">
        <v>2.5828460038986414</v>
      </c>
      <c r="AG166">
        <v>3.4502923976608222</v>
      </c>
      <c r="AH166">
        <v>-0.94587493431424663</v>
      </c>
      <c r="AI166">
        <v>-0.51165434906197027</v>
      </c>
      <c r="AJ166">
        <v>2.1750663129973447</v>
      </c>
      <c r="AK166">
        <v>2.7173913043478262</v>
      </c>
      <c r="AL166">
        <v>5.2542372881355996</v>
      </c>
      <c r="AM166">
        <v>3.0601092896174831</v>
      </c>
      <c r="AN166">
        <v>2.9633933759442153</v>
      </c>
      <c r="AO166">
        <v>-18.421148213239597</v>
      </c>
      <c r="AP166">
        <v>1.7169923031379548</v>
      </c>
      <c r="AQ166">
        <v>1.4789533560864587</v>
      </c>
      <c r="AR166">
        <v>1.9878520154610682</v>
      </c>
      <c r="AS166">
        <v>2.125215393452049</v>
      </c>
      <c r="AT166">
        <v>-0.20273694880892329</v>
      </c>
      <c r="AU166">
        <v>2.6162790697674421</v>
      </c>
      <c r="AV166">
        <v>1.195219123505989</v>
      </c>
      <c r="BL166" s="2">
        <v>-2.7769742551344998</v>
      </c>
      <c r="BM166" s="2">
        <v>1.6300940438871439</v>
      </c>
      <c r="BN166" s="2">
        <v>3.3317001469867771</v>
      </c>
      <c r="BO166" s="2">
        <v>1.3666072489601799</v>
      </c>
      <c r="BP166" s="2">
        <v>0.78031212484994683</v>
      </c>
      <c r="BQ166" s="2">
        <v>4.6690307328605236</v>
      </c>
      <c r="BR166" s="2">
        <v>23.108030040439054</v>
      </c>
      <c r="BS166" s="2">
        <v>0.11968880909635971</v>
      </c>
      <c r="BT166" s="2">
        <v>1.6638935108153077</v>
      </c>
      <c r="BU166" s="2">
        <v>-3.0163599182004122</v>
      </c>
      <c r="BV166" s="2">
        <v>-8.1807780320366188</v>
      </c>
      <c r="BW166" s="2">
        <v>2.6630434782608727</v>
      </c>
      <c r="BX166" s="2">
        <v>3.7377803335250142</v>
      </c>
      <c r="BY166" s="2">
        <v>-7.8748107016658224</v>
      </c>
      <c r="BZ166" s="2">
        <v>-5.1855895196506552</v>
      </c>
      <c r="CA166" s="2">
        <v>-11.942762795817275</v>
      </c>
      <c r="CB166" s="2">
        <v>-6.2295081967213148</v>
      </c>
      <c r="CC166" s="2">
        <v>-4.701102727800361</v>
      </c>
      <c r="CD166" s="2">
        <v>21.360007640653738</v>
      </c>
      <c r="CE166" s="2">
        <v>-2.4808033077377534</v>
      </c>
      <c r="CF166" s="2">
        <v>0.1753360607831744</v>
      </c>
      <c r="CG166" s="2">
        <v>-3.7904124860646662</v>
      </c>
      <c r="CH166" s="2">
        <v>-3.3010813887307817</v>
      </c>
      <c r="CI166" s="2">
        <v>2.5813113061435211</v>
      </c>
      <c r="CJ166" s="2">
        <v>-4.1714947856315119</v>
      </c>
      <c r="CK166" s="2">
        <v>-1.2549914432401694</v>
      </c>
    </row>
    <row r="167" spans="1:89" x14ac:dyDescent="0.35">
      <c r="A167">
        <v>2022</v>
      </c>
      <c r="B167" t="s">
        <v>34</v>
      </c>
      <c r="C167" s="29">
        <v>451.3</v>
      </c>
      <c r="D167" s="29">
        <v>603.9</v>
      </c>
      <c r="E167" s="29">
        <v>527.70000000000005</v>
      </c>
      <c r="F167" s="29">
        <v>481.99999999999994</v>
      </c>
      <c r="G167" s="29">
        <v>461.5</v>
      </c>
      <c r="H167" s="29">
        <v>522.9</v>
      </c>
      <c r="I167" s="29">
        <v>490.8</v>
      </c>
      <c r="J167" s="29">
        <v>357.6</v>
      </c>
      <c r="K167" s="29">
        <v>521.90000000000009</v>
      </c>
      <c r="L167" s="29">
        <v>491.9</v>
      </c>
      <c r="M167" s="29">
        <v>534.29999999999995</v>
      </c>
      <c r="N167" s="29">
        <v>500.3</v>
      </c>
      <c r="O167" s="29">
        <v>549</v>
      </c>
      <c r="P167" s="29">
        <v>510.59999999999997</v>
      </c>
      <c r="Q167" s="29">
        <v>483.79999999999995</v>
      </c>
      <c r="R167" s="29">
        <v>506.70000000000005</v>
      </c>
      <c r="S167" s="29">
        <v>484.90000000000003</v>
      </c>
      <c r="T167" s="29">
        <v>470.25509999999997</v>
      </c>
      <c r="U167" s="29">
        <v>487.1</v>
      </c>
      <c r="V167" s="29">
        <v>493.1</v>
      </c>
      <c r="W167" s="29">
        <v>514.70000000000005</v>
      </c>
      <c r="X167" s="29">
        <v>497.70000000000005</v>
      </c>
      <c r="Y167" s="29">
        <v>580.79999999999995</v>
      </c>
      <c r="Z167" s="29">
        <v>490.20000000000005</v>
      </c>
      <c r="AA167" s="29">
        <v>498.29999999999995</v>
      </c>
      <c r="AD167">
        <v>0.29291154071470415</v>
      </c>
      <c r="AE167">
        <v>1.9950124688279349</v>
      </c>
      <c r="AF167">
        <v>-2.9453681710213724</v>
      </c>
      <c r="AG167">
        <v>-7.4618428490672795</v>
      </c>
      <c r="AH167">
        <v>3.0769230769230829</v>
      </c>
      <c r="AI167">
        <v>2.5714285714285712</v>
      </c>
      <c r="AJ167">
        <v>-7.580477673935615</v>
      </c>
      <c r="AK167">
        <v>-5.4497354497354555</v>
      </c>
      <c r="AL167">
        <v>-11.272141706924314</v>
      </c>
      <c r="AM167">
        <v>-6.3626723223753983</v>
      </c>
      <c r="AN167">
        <v>-5.1918735891647794</v>
      </c>
      <c r="AO167">
        <v>23.586137958322528</v>
      </c>
      <c r="AP167">
        <v>-2.3282887077997669</v>
      </c>
      <c r="AQ167">
        <v>0.22421524663677447</v>
      </c>
      <c r="AR167">
        <v>-3.3567948023822356</v>
      </c>
      <c r="AS167">
        <v>-3.3745781777277837</v>
      </c>
      <c r="AT167">
        <v>2.3869984763839454</v>
      </c>
      <c r="AU167">
        <v>-4.3059490084985805</v>
      </c>
      <c r="AV167">
        <v>-1.6310461192350987</v>
      </c>
      <c r="BL167" s="2">
        <v>1.3686402856292836</v>
      </c>
      <c r="BM167" s="2">
        <v>-1.1104256631708715</v>
      </c>
      <c r="BN167" s="2">
        <v>-2.0862968231389312</v>
      </c>
      <c r="BO167" s="2">
        <v>-0.82063305978898349</v>
      </c>
      <c r="BP167" s="2">
        <v>0.29779630732578916</v>
      </c>
      <c r="BQ167" s="2">
        <v>-2.371541501976278</v>
      </c>
      <c r="BR167" s="2">
        <v>-12.38854997653684</v>
      </c>
      <c r="BS167" s="2">
        <v>-5.9772863120157047E-2</v>
      </c>
      <c r="BT167" s="2">
        <v>-1.0638297872340403</v>
      </c>
      <c r="BU167" s="2">
        <v>2.0558777016341621</v>
      </c>
      <c r="BV167" s="2">
        <v>5.1713395638629356</v>
      </c>
      <c r="BW167" s="2">
        <v>-1.3763896241397535</v>
      </c>
      <c r="BX167" s="2">
        <v>-2.2727272727272698</v>
      </c>
      <c r="BY167" s="2">
        <v>5.4246575342465784</v>
      </c>
      <c r="BZ167" s="2">
        <v>3.3390903857225167</v>
      </c>
      <c r="CA167" s="2">
        <v>7.9374999999999929</v>
      </c>
      <c r="CB167" s="2">
        <v>4.0209790209790244</v>
      </c>
      <c r="CC167" s="2">
        <v>2.6187576126674861</v>
      </c>
      <c r="CD167" s="2">
        <v>0</v>
      </c>
      <c r="CE167" s="2">
        <v>1.0902483343428293</v>
      </c>
      <c r="CF167" s="2">
        <v>-0.116686114352402</v>
      </c>
      <c r="CG167" s="2">
        <v>2.4333719582850621</v>
      </c>
      <c r="CH167" s="2">
        <v>1.412595644496766</v>
      </c>
      <c r="CI167" s="2">
        <v>-1.8621036738802159</v>
      </c>
      <c r="CJ167" s="2">
        <v>2.2370012091898359</v>
      </c>
      <c r="CK167" s="2">
        <v>0.69324090121318138</v>
      </c>
    </row>
    <row r="168" spans="1:89" x14ac:dyDescent="0.35">
      <c r="A168">
        <v>2022</v>
      </c>
      <c r="B168" t="s">
        <v>35</v>
      </c>
      <c r="C168" s="29">
        <v>455.2</v>
      </c>
      <c r="D168" s="29">
        <v>634.5</v>
      </c>
      <c r="E168" s="29">
        <v>503.40000000000003</v>
      </c>
      <c r="F168" s="29">
        <v>486.8</v>
      </c>
      <c r="G168" s="29">
        <v>473.1</v>
      </c>
      <c r="H168" s="29">
        <v>511.1</v>
      </c>
      <c r="I168" s="29">
        <v>491.5</v>
      </c>
      <c r="J168" s="29">
        <v>357.2</v>
      </c>
      <c r="K168" s="29">
        <v>530.79999999999995</v>
      </c>
      <c r="L168" s="29">
        <v>493.59999999999997</v>
      </c>
      <c r="M168" s="29">
        <v>538.20000000000005</v>
      </c>
      <c r="N168" s="29">
        <v>506.5</v>
      </c>
      <c r="O168" s="29">
        <v>577.70000000000005</v>
      </c>
      <c r="P168" s="29">
        <v>514.6</v>
      </c>
      <c r="Q168" s="29">
        <v>490.4</v>
      </c>
      <c r="R168" s="29">
        <v>511.1</v>
      </c>
      <c r="S168" s="29">
        <v>487.90000000000003</v>
      </c>
      <c r="T168" s="29">
        <v>469.85510000000005</v>
      </c>
      <c r="U168" s="29">
        <v>490.7</v>
      </c>
      <c r="V168" s="29">
        <v>501.40000000000003</v>
      </c>
      <c r="W168" s="29">
        <v>517.20000000000005</v>
      </c>
      <c r="X168" s="29">
        <v>499.29999999999995</v>
      </c>
      <c r="Y168" s="29">
        <v>583.5</v>
      </c>
      <c r="Z168" s="29">
        <v>493.5</v>
      </c>
      <c r="AA168" s="29">
        <v>502.9</v>
      </c>
      <c r="AD168">
        <v>-0.17523364485980314</v>
      </c>
      <c r="AE168">
        <v>-1.3039934800326067</v>
      </c>
      <c r="AF168">
        <v>2.006852667645616</v>
      </c>
      <c r="AG168">
        <v>4.7037263286499797</v>
      </c>
      <c r="AH168">
        <v>-1.5954709212558018</v>
      </c>
      <c r="AI168">
        <v>-1.5598885793871931</v>
      </c>
      <c r="AJ168">
        <v>5.1685393258426897</v>
      </c>
      <c r="AK168">
        <v>3.4695019585898255</v>
      </c>
      <c r="AL168">
        <v>7.4410163339382827</v>
      </c>
      <c r="AM168">
        <v>4.0770101925254911</v>
      </c>
      <c r="AN168">
        <v>2.9166666666666701</v>
      </c>
      <c r="AO168">
        <v>0</v>
      </c>
      <c r="AP168">
        <v>1.0131108462455236</v>
      </c>
      <c r="AQ168">
        <v>-0.11185682326622878</v>
      </c>
      <c r="AR168">
        <v>2.1288515406162527</v>
      </c>
      <c r="AS168">
        <v>1.4551804423748544</v>
      </c>
      <c r="AT168">
        <v>-1.6865079365079396</v>
      </c>
      <c r="AU168">
        <v>2.3090586145648344</v>
      </c>
      <c r="AV168">
        <v>0.91480846197827004</v>
      </c>
      <c r="BL168" s="2">
        <v>1.7317287936601047</v>
      </c>
      <c r="BM168" s="2">
        <v>1.6219588271989982</v>
      </c>
      <c r="BN168" s="2">
        <v>9.6852300242125239E-2</v>
      </c>
      <c r="BO168" s="2">
        <v>-0.1182033096926647</v>
      </c>
      <c r="BP168" s="2">
        <v>-0.17814726840855782</v>
      </c>
      <c r="BQ168" s="2">
        <v>-5.0896471949103592</v>
      </c>
      <c r="BR168" s="2">
        <v>-5.2490626673808158</v>
      </c>
      <c r="BS168" s="2">
        <v>1.0765550239234518</v>
      </c>
      <c r="BT168" s="2">
        <v>-8.2712985938799444E-2</v>
      </c>
      <c r="BU168" s="2">
        <v>2.8409090909090913</v>
      </c>
      <c r="BV168" s="2">
        <v>3.9099526066350676</v>
      </c>
      <c r="BW168" s="2">
        <v>-0.80515297906602246</v>
      </c>
      <c r="BX168" s="2">
        <v>-0.45377197958026738</v>
      </c>
      <c r="BY168" s="2">
        <v>0.88357588357587769</v>
      </c>
      <c r="BZ168" s="2">
        <v>2.8969359331476259</v>
      </c>
      <c r="CA168" s="2">
        <v>6.1378112333526484</v>
      </c>
      <c r="CB168" s="2">
        <v>3.3613445378151261</v>
      </c>
      <c r="CC168" s="2">
        <v>3.0267062314540025</v>
      </c>
      <c r="CD168" s="2">
        <v>-17.600532544378702</v>
      </c>
      <c r="CE168" s="2">
        <v>1.857399640503292</v>
      </c>
      <c r="CF168" s="2">
        <v>-0.23364485981307087</v>
      </c>
      <c r="CG168" s="2">
        <v>1.92307692307691</v>
      </c>
      <c r="CH168" s="2">
        <v>2.2634939059779322</v>
      </c>
      <c r="CI168" s="2">
        <v>-0.25641025641025639</v>
      </c>
      <c r="CJ168" s="2">
        <v>2.3654642223536371</v>
      </c>
      <c r="CK168" s="2">
        <v>1.2048192771084303</v>
      </c>
    </row>
    <row r="169" spans="1:89" x14ac:dyDescent="0.35">
      <c r="A169">
        <v>2022</v>
      </c>
      <c r="B169" t="s">
        <v>36</v>
      </c>
      <c r="C169" s="29">
        <v>460.1</v>
      </c>
      <c r="D169" s="29">
        <v>637.29999999999995</v>
      </c>
      <c r="E169" s="29">
        <v>493.6</v>
      </c>
      <c r="F169" s="29">
        <v>491.9</v>
      </c>
      <c r="G169" s="29">
        <v>518.20000000000005</v>
      </c>
      <c r="H169" s="29">
        <v>510.49999999999994</v>
      </c>
      <c r="I169" s="29">
        <v>493.8</v>
      </c>
      <c r="J169" s="29">
        <v>357.7</v>
      </c>
      <c r="K169" s="29">
        <v>542.20000000000005</v>
      </c>
      <c r="L169" s="29">
        <v>496.09999999999997</v>
      </c>
      <c r="M169" s="29">
        <v>543.1</v>
      </c>
      <c r="N169" s="29">
        <v>513.90000000000009</v>
      </c>
      <c r="O169" s="29">
        <v>592.9</v>
      </c>
      <c r="P169" s="29">
        <v>519.79999999999995</v>
      </c>
      <c r="Q169" s="29">
        <v>496.1</v>
      </c>
      <c r="R169" s="29">
        <v>516.20000000000005</v>
      </c>
      <c r="S169" s="29">
        <v>491.5</v>
      </c>
      <c r="T169" s="29">
        <v>473.25509999999997</v>
      </c>
      <c r="U169" s="29">
        <v>493.79999999999995</v>
      </c>
      <c r="V169" s="29">
        <v>506.2</v>
      </c>
      <c r="W169" s="29">
        <v>520</v>
      </c>
      <c r="X169" s="29">
        <v>501.79999999999995</v>
      </c>
      <c r="Y169" s="29">
        <v>583.79999999999995</v>
      </c>
      <c r="Z169" s="29">
        <v>500.09999999999997</v>
      </c>
      <c r="AA169" s="29">
        <v>510.1</v>
      </c>
      <c r="AD169">
        <v>-0.29256875365710944</v>
      </c>
      <c r="AE169">
        <v>-1.6515276630883566</v>
      </c>
      <c r="AF169">
        <v>1.7754318618042171</v>
      </c>
      <c r="AG169">
        <v>3.6172695449241474</v>
      </c>
      <c r="AH169">
        <v>-0.67991631799162289</v>
      </c>
      <c r="AI169">
        <v>-1.0752688172042884</v>
      </c>
      <c r="AJ169">
        <v>-2.0299145299145209</v>
      </c>
      <c r="AK169">
        <v>2.7582477014602458</v>
      </c>
      <c r="AL169">
        <v>5.2927927927927962</v>
      </c>
      <c r="AM169">
        <v>3.1556039173014048</v>
      </c>
      <c r="AN169">
        <v>3.2967032967032899</v>
      </c>
      <c r="AO169">
        <v>-19.08477629285299</v>
      </c>
      <c r="AP169">
        <v>1.9469026548672632</v>
      </c>
      <c r="AQ169">
        <v>1.1758118701007807</v>
      </c>
      <c r="AR169">
        <v>2.3587493143170506</v>
      </c>
      <c r="AS169">
        <v>2.4096385542168606</v>
      </c>
      <c r="AT169">
        <v>5.0454086781040734E-2</v>
      </c>
      <c r="AU169">
        <v>2.9513888888888853</v>
      </c>
      <c r="AV169">
        <v>0.84985835694051004</v>
      </c>
      <c r="BL169" s="2">
        <v>-2.6543566070398281</v>
      </c>
      <c r="BM169" s="2">
        <v>1.2277470841006752</v>
      </c>
      <c r="BN169" s="2">
        <v>3.3865505563618772</v>
      </c>
      <c r="BO169" s="2">
        <v>1.1242603550295891</v>
      </c>
      <c r="BP169" s="2">
        <v>0.83283759666865298</v>
      </c>
      <c r="BQ169" s="2">
        <v>2.0719073735527154</v>
      </c>
      <c r="BR169" s="2">
        <v>24.816280384397967</v>
      </c>
      <c r="BS169" s="2">
        <v>0.11834319526626547</v>
      </c>
      <c r="BT169" s="2">
        <v>1.9039735099337725</v>
      </c>
      <c r="BU169" s="2">
        <v>-2.7624309392265194</v>
      </c>
      <c r="BV169" s="2">
        <v>-8.1527936145952182</v>
      </c>
      <c r="BW169" s="2">
        <v>3.0303030303030267</v>
      </c>
      <c r="BX169" s="2">
        <v>3.5897435897435965</v>
      </c>
      <c r="BY169" s="2">
        <v>-7.6249356002060704</v>
      </c>
      <c r="BZ169" s="2">
        <v>-5.2517596101786621</v>
      </c>
      <c r="CA169" s="2">
        <v>-11.783960720130944</v>
      </c>
      <c r="CB169" s="2">
        <v>-6.2330623306233059</v>
      </c>
      <c r="CC169" s="2">
        <v>-4.9539170506912411</v>
      </c>
      <c r="CD169" s="2">
        <v>21.719060917697092</v>
      </c>
      <c r="CE169" s="2">
        <v>-2.4705882352941111</v>
      </c>
      <c r="CF169" s="2">
        <v>0.17564402810303451</v>
      </c>
      <c r="CG169" s="2">
        <v>-3.5516093229744605</v>
      </c>
      <c r="CH169" s="2">
        <v>-3.0079455164585602</v>
      </c>
      <c r="CI169" s="2">
        <v>2.6735218508997369</v>
      </c>
      <c r="CJ169" s="2">
        <v>-4.0439052570768341</v>
      </c>
      <c r="CK169" s="2">
        <v>-1.3038548752834531</v>
      </c>
    </row>
    <row r="170" spans="1:89" x14ac:dyDescent="0.35">
      <c r="A170">
        <v>2022</v>
      </c>
      <c r="B170" t="s">
        <v>37</v>
      </c>
      <c r="C170" s="29">
        <v>463.70000000000005</v>
      </c>
      <c r="D170" s="29">
        <v>652.9</v>
      </c>
      <c r="E170" s="29">
        <v>487.9</v>
      </c>
      <c r="F170" s="29">
        <v>494.9</v>
      </c>
      <c r="G170" s="29">
        <v>513.5</v>
      </c>
      <c r="H170" s="29">
        <v>538.5</v>
      </c>
      <c r="I170" s="29">
        <v>493.8</v>
      </c>
      <c r="J170" s="29">
        <v>359.8</v>
      </c>
      <c r="K170" s="29">
        <v>552.9</v>
      </c>
      <c r="L170" s="29">
        <v>498.79999999999995</v>
      </c>
      <c r="M170" s="29">
        <v>547.79999999999995</v>
      </c>
      <c r="N170" s="29">
        <v>521.6</v>
      </c>
      <c r="O170" s="29">
        <v>601.79999999999995</v>
      </c>
      <c r="P170" s="29">
        <v>524.9</v>
      </c>
      <c r="Q170" s="29">
        <v>501.5</v>
      </c>
      <c r="R170" s="29">
        <v>521.4</v>
      </c>
      <c r="S170" s="29">
        <v>495.2</v>
      </c>
      <c r="T170" s="29">
        <v>474.25509999999997</v>
      </c>
      <c r="U170" s="29">
        <v>495.9</v>
      </c>
      <c r="V170" s="29">
        <v>505.1</v>
      </c>
      <c r="W170" s="29">
        <v>522.59999999999991</v>
      </c>
      <c r="X170" s="29">
        <v>504.9</v>
      </c>
      <c r="Y170" s="29">
        <v>584.5</v>
      </c>
      <c r="Z170" s="29">
        <v>502.20000000000005</v>
      </c>
      <c r="AA170" s="29">
        <v>515</v>
      </c>
      <c r="AD170">
        <v>1.056338028169004</v>
      </c>
      <c r="AE170">
        <v>2.3509655751469452</v>
      </c>
      <c r="AF170">
        <v>-3.4417727487034337</v>
      </c>
      <c r="AG170">
        <v>-7.1509009009008944</v>
      </c>
      <c r="AH170">
        <v>3.5281727224855128</v>
      </c>
      <c r="AI170">
        <v>3.3752860411899186</v>
      </c>
      <c r="AJ170">
        <v>-6.106870229007642</v>
      </c>
      <c r="AK170">
        <v>-5.105263157894731</v>
      </c>
      <c r="AL170">
        <v>-10.695187165775401</v>
      </c>
      <c r="AM170">
        <v>-6.012658227848104</v>
      </c>
      <c r="AN170">
        <v>-5.2631578947368451</v>
      </c>
      <c r="AO170">
        <v>24.591487134043923</v>
      </c>
      <c r="AP170">
        <v>-2.5462962962962994</v>
      </c>
      <c r="AQ170">
        <v>0.38738240177090044</v>
      </c>
      <c r="AR170">
        <v>-3.1082529474812342</v>
      </c>
      <c r="AS170">
        <v>-3.3613445378151261</v>
      </c>
      <c r="AT170">
        <v>2.2188603126575779</v>
      </c>
      <c r="AU170">
        <v>-4.4406970207982042</v>
      </c>
      <c r="AV170">
        <v>-0.95505617977527446</v>
      </c>
      <c r="BL170" s="2">
        <v>1.3040901007706087</v>
      </c>
      <c r="BM170" s="2">
        <v>-0.84899939357186516</v>
      </c>
      <c r="BN170" s="2">
        <v>-2.1057557323350493</v>
      </c>
      <c r="BO170" s="2">
        <v>-0.70216500877707255</v>
      </c>
      <c r="BP170" s="2">
        <v>0.35398230088495242</v>
      </c>
      <c r="BQ170" s="2">
        <v>-1.0746268656716487</v>
      </c>
      <c r="BR170" s="2">
        <v>-13.134057971014492</v>
      </c>
      <c r="BS170" s="2">
        <v>-5.9101654846332348E-2</v>
      </c>
      <c r="BT170" s="2">
        <v>-1.2185215272136476</v>
      </c>
      <c r="BU170" s="2">
        <v>1.9111570247933973</v>
      </c>
      <c r="BV170" s="2">
        <v>5.1520794537554382</v>
      </c>
      <c r="BW170" s="2">
        <v>-1.5756302521008403</v>
      </c>
      <c r="BX170" s="2">
        <v>-2.2002200220021999</v>
      </c>
      <c r="BY170" s="2">
        <v>5.2426101505855982</v>
      </c>
      <c r="BZ170" s="2">
        <v>3.3714285714285745</v>
      </c>
      <c r="CA170" s="2">
        <v>7.7922077922078072</v>
      </c>
      <c r="CB170" s="2">
        <v>3.988439306358385</v>
      </c>
      <c r="CC170" s="2">
        <v>2.7272727272727271</v>
      </c>
      <c r="CD170" s="2">
        <v>0</v>
      </c>
      <c r="CE170" s="2">
        <v>1.0856453558504118</v>
      </c>
      <c r="CF170" s="2">
        <v>-0.11689070718877186</v>
      </c>
      <c r="CG170" s="2">
        <v>2.3014959723820483</v>
      </c>
      <c r="CH170" s="2">
        <v>1.2873025160912748</v>
      </c>
      <c r="CI170" s="2">
        <v>-1.9028542814221248</v>
      </c>
      <c r="CJ170" s="2">
        <v>2.1673690547862701</v>
      </c>
      <c r="CK170" s="2">
        <v>0.68925904652499548</v>
      </c>
    </row>
    <row r="171" spans="1:89" x14ac:dyDescent="0.35">
      <c r="A171">
        <v>2022</v>
      </c>
      <c r="B171" t="s">
        <v>38</v>
      </c>
      <c r="C171" s="29">
        <v>466.3</v>
      </c>
      <c r="D171" s="29">
        <v>660</v>
      </c>
      <c r="E171" s="29">
        <v>513.20000000000005</v>
      </c>
      <c r="F171" s="29">
        <v>497.6</v>
      </c>
      <c r="G171" s="29">
        <v>509.59999999999997</v>
      </c>
      <c r="H171" s="29">
        <v>561.1</v>
      </c>
      <c r="I171" s="29">
        <v>492.5</v>
      </c>
      <c r="J171" s="29">
        <v>360.4</v>
      </c>
      <c r="K171" s="29">
        <v>559.5</v>
      </c>
      <c r="L171" s="29">
        <v>501.19999999999993</v>
      </c>
      <c r="M171" s="29">
        <v>552.1</v>
      </c>
      <c r="N171" s="29">
        <v>526.6</v>
      </c>
      <c r="O171" s="29">
        <v>597.6</v>
      </c>
      <c r="P171" s="29">
        <v>529.4</v>
      </c>
      <c r="Q171" s="29">
        <v>506</v>
      </c>
      <c r="R171" s="29">
        <v>525.79999999999995</v>
      </c>
      <c r="S171" s="29">
        <v>498.79999999999995</v>
      </c>
      <c r="T171" s="29">
        <v>472.85510000000005</v>
      </c>
      <c r="U171" s="29">
        <v>497.90000000000003</v>
      </c>
      <c r="V171" s="29">
        <v>508.1</v>
      </c>
      <c r="W171" s="29">
        <v>524.5</v>
      </c>
      <c r="X171" s="29">
        <v>508.1</v>
      </c>
      <c r="Y171" s="29">
        <v>585.5</v>
      </c>
      <c r="Z171" s="29">
        <v>502.3</v>
      </c>
      <c r="AA171" s="29">
        <v>517.6</v>
      </c>
      <c r="AD171">
        <v>-0.69686411149825123</v>
      </c>
      <c r="AE171">
        <v>-1.5586546349466821</v>
      </c>
      <c r="AF171">
        <v>2.3925781249999889</v>
      </c>
      <c r="AG171">
        <v>4.4875682231655585</v>
      </c>
      <c r="AH171">
        <v>-1.831129196337739</v>
      </c>
      <c r="AI171">
        <v>-2.047592695074703</v>
      </c>
      <c r="AJ171">
        <v>4.1231126596980392</v>
      </c>
      <c r="AK171">
        <v>3.272323904603426</v>
      </c>
      <c r="AL171">
        <v>7.0059880239520895</v>
      </c>
      <c r="AM171">
        <v>3.8720538720538751</v>
      </c>
      <c r="AN171">
        <v>2.9550827423167849</v>
      </c>
      <c r="AO171">
        <v>0</v>
      </c>
      <c r="AP171">
        <v>1.1282660332541601</v>
      </c>
      <c r="AQ171">
        <v>-0.22050716648291382</v>
      </c>
      <c r="AR171">
        <v>1.991150442477873</v>
      </c>
      <c r="AS171">
        <v>1.4492753623188406</v>
      </c>
      <c r="AT171">
        <v>-1.5786877158362058</v>
      </c>
      <c r="AU171">
        <v>2.4117647058823497</v>
      </c>
      <c r="AV171">
        <v>0.51049347702778058</v>
      </c>
      <c r="BL171" s="2">
        <v>1.8724400234055101</v>
      </c>
      <c r="BM171" s="2">
        <v>0.73394495412843341</v>
      </c>
      <c r="BN171" s="2">
        <v>-0.19120458891012299</v>
      </c>
      <c r="BO171" s="2">
        <v>0.35356511490867576</v>
      </c>
      <c r="BP171" s="2">
        <v>-0.23515579071134962</v>
      </c>
      <c r="BQ171" s="2">
        <v>-2.1122510561255283</v>
      </c>
      <c r="BR171" s="2">
        <v>-3.6496350364963499</v>
      </c>
      <c r="BS171" s="2">
        <v>0.35481963335304223</v>
      </c>
      <c r="BT171" s="2">
        <v>-0.41118421052631576</v>
      </c>
      <c r="BU171" s="2">
        <v>2.1794221996958858</v>
      </c>
      <c r="BV171" s="2">
        <v>3.7780401416765086</v>
      </c>
      <c r="BW171" s="2">
        <v>-0.96051227321238608</v>
      </c>
      <c r="BX171" s="2">
        <v>-0.22497187851518879</v>
      </c>
      <c r="BY171" s="2">
        <v>1.5368309485956575</v>
      </c>
      <c r="BZ171" s="2">
        <v>2.8745163073521218</v>
      </c>
      <c r="CA171" s="2">
        <v>5.7946069994262732</v>
      </c>
      <c r="CB171" s="2">
        <v>3.3351862145636466</v>
      </c>
      <c r="CC171" s="2">
        <v>2.8908554572271421</v>
      </c>
      <c r="CD171" s="2">
        <v>-17.843598820058997</v>
      </c>
      <c r="CE171" s="2">
        <v>1.7899761336515514</v>
      </c>
      <c r="CF171" s="2">
        <v>0.64365125804563739</v>
      </c>
      <c r="CG171" s="2">
        <v>1.9122609673790647</v>
      </c>
      <c r="CH171" s="2">
        <v>1.9641825534373227</v>
      </c>
      <c r="CI171" s="2">
        <v>-0.51046452271567122</v>
      </c>
      <c r="CJ171" s="2">
        <v>2.4749558043606465</v>
      </c>
      <c r="CK171" s="2">
        <v>1.483171705647458</v>
      </c>
    </row>
    <row r="172" spans="1:89" x14ac:dyDescent="0.35">
      <c r="A172">
        <v>2022</v>
      </c>
      <c r="B172" t="s">
        <v>39</v>
      </c>
      <c r="C172" s="29">
        <v>471</v>
      </c>
      <c r="D172" s="29">
        <v>640.9</v>
      </c>
      <c r="E172" s="29">
        <v>526.09999999999991</v>
      </c>
      <c r="F172" s="29">
        <v>500</v>
      </c>
      <c r="G172" s="29">
        <v>523.29999999999995</v>
      </c>
      <c r="H172" s="29">
        <v>559.20000000000005</v>
      </c>
      <c r="I172" s="29">
        <v>492.7</v>
      </c>
      <c r="J172" s="29">
        <v>360.7</v>
      </c>
      <c r="K172" s="29">
        <v>568.1</v>
      </c>
      <c r="L172" s="29">
        <v>502.70000000000005</v>
      </c>
      <c r="M172" s="29">
        <v>556</v>
      </c>
      <c r="N172" s="29">
        <v>526.9</v>
      </c>
      <c r="O172" s="29">
        <v>582.79999999999995</v>
      </c>
      <c r="P172" s="29">
        <v>533</v>
      </c>
      <c r="Q172" s="29">
        <v>510.3</v>
      </c>
      <c r="R172" s="29">
        <v>529.59999999999991</v>
      </c>
      <c r="S172" s="29">
        <v>501.79999999999995</v>
      </c>
      <c r="T172" s="29">
        <v>474.85510000000005</v>
      </c>
      <c r="U172" s="29">
        <v>499.5</v>
      </c>
      <c r="V172" s="29">
        <v>509.2</v>
      </c>
      <c r="W172" s="29">
        <v>526.6</v>
      </c>
      <c r="X172" s="29">
        <v>515.19999999999993</v>
      </c>
      <c r="Y172" s="29">
        <v>586.4</v>
      </c>
      <c r="Z172" s="29">
        <v>504.9</v>
      </c>
      <c r="AA172" s="29">
        <v>520</v>
      </c>
      <c r="AD172">
        <v>-0.29239766081871343</v>
      </c>
      <c r="AE172">
        <v>-0.75000000000000477</v>
      </c>
      <c r="AF172">
        <v>1.1444921316165979</v>
      </c>
      <c r="AG172">
        <v>3.0760301799187362</v>
      </c>
      <c r="AH172">
        <v>-1.6062176165803081</v>
      </c>
      <c r="AI172">
        <v>-1.2429378531073383</v>
      </c>
      <c r="AJ172">
        <v>2.2308979364194088</v>
      </c>
      <c r="AK172">
        <v>2.0408163265306185</v>
      </c>
      <c r="AL172">
        <v>4.6446558477895978</v>
      </c>
      <c r="AM172">
        <v>2.4311183144246353</v>
      </c>
      <c r="AN172">
        <v>2.5258323765786486</v>
      </c>
      <c r="AO172">
        <v>-19.737694524495677</v>
      </c>
      <c r="AP172">
        <v>1.467997651203758</v>
      </c>
      <c r="AQ172">
        <v>-0.16574585635359745</v>
      </c>
      <c r="AR172">
        <v>1.1930585683297117</v>
      </c>
      <c r="AS172">
        <v>2</v>
      </c>
      <c r="AT172">
        <v>-0.55137844611528541</v>
      </c>
      <c r="AU172">
        <v>2.1826536473291278</v>
      </c>
      <c r="AV172">
        <v>0.45146726862303133</v>
      </c>
      <c r="BL172" s="2">
        <v>-2.6995979322228698</v>
      </c>
      <c r="BM172" s="2">
        <v>1.0321797207043213</v>
      </c>
      <c r="BN172" s="2">
        <v>2.9214559386973153</v>
      </c>
      <c r="BO172" s="2">
        <v>0.93951849677040189</v>
      </c>
      <c r="BP172" s="2">
        <v>0.70713022981733475</v>
      </c>
      <c r="BQ172" s="2">
        <v>2.1578298397040689</v>
      </c>
      <c r="BR172" s="2">
        <v>23.70129870129869</v>
      </c>
      <c r="BS172" s="2">
        <v>0.11785503830289751</v>
      </c>
      <c r="BT172" s="2">
        <v>1.8992568125516196</v>
      </c>
      <c r="BU172" s="2">
        <v>-2.5793650793650738</v>
      </c>
      <c r="BV172" s="2">
        <v>-8.0773606370876099</v>
      </c>
      <c r="BW172" s="2">
        <v>3.178879310344831</v>
      </c>
      <c r="BX172" s="2">
        <v>3.3258173618940274</v>
      </c>
      <c r="BY172" s="2">
        <v>-7.2546972860125294</v>
      </c>
      <c r="BZ172" s="2">
        <v>-5.6958624395486268</v>
      </c>
      <c r="CA172" s="2">
        <v>-11.822125813449031</v>
      </c>
      <c r="CB172" s="2">
        <v>-6.6164604626143149</v>
      </c>
      <c r="CC172" s="2">
        <v>-4.8165137614678928</v>
      </c>
      <c r="CD172" s="2">
        <v>22.939842059644487</v>
      </c>
      <c r="CE172" s="2">
        <v>-2.5205158264947145</v>
      </c>
      <c r="CF172" s="2">
        <v>0.1744186046511694</v>
      </c>
      <c r="CG172" s="2">
        <v>-3.5871964679911703</v>
      </c>
      <c r="CH172" s="2">
        <v>-3.0028328611898081</v>
      </c>
      <c r="CI172" s="2">
        <v>2.668034889687013</v>
      </c>
      <c r="CJ172" s="2">
        <v>-4.0828062104657814</v>
      </c>
      <c r="CK172" s="2">
        <v>-1.4614952220348478</v>
      </c>
    </row>
    <row r="173" spans="1:89" x14ac:dyDescent="0.35">
      <c r="A173">
        <v>2022</v>
      </c>
      <c r="B173" t="s">
        <v>40</v>
      </c>
      <c r="C173" s="29">
        <v>481.90000000000003</v>
      </c>
      <c r="D173" s="29">
        <v>621.5</v>
      </c>
      <c r="E173" s="29">
        <v>508.09999999999997</v>
      </c>
      <c r="F173" s="29">
        <v>504.4</v>
      </c>
      <c r="G173" s="29">
        <v>519.19999999999993</v>
      </c>
      <c r="H173" s="29">
        <v>572.9</v>
      </c>
      <c r="I173" s="29">
        <v>501.59999999999997</v>
      </c>
      <c r="J173" s="29">
        <v>363.3</v>
      </c>
      <c r="K173" s="29">
        <v>578.9</v>
      </c>
      <c r="L173" s="29">
        <v>504.1</v>
      </c>
      <c r="M173" s="29">
        <v>559.20000000000005</v>
      </c>
      <c r="N173" s="29">
        <v>530.6</v>
      </c>
      <c r="O173" s="29">
        <v>573</v>
      </c>
      <c r="P173" s="29">
        <v>536.4</v>
      </c>
      <c r="Q173" s="29">
        <v>514.4</v>
      </c>
      <c r="R173" s="29">
        <v>533.1</v>
      </c>
      <c r="S173" s="29">
        <v>505</v>
      </c>
      <c r="T173" s="29">
        <v>477.25509999999997</v>
      </c>
      <c r="U173" s="29">
        <v>501.29999999999995</v>
      </c>
      <c r="V173" s="29">
        <v>513.70000000000005</v>
      </c>
      <c r="W173" s="29">
        <v>528.79999999999995</v>
      </c>
      <c r="X173" s="29">
        <v>517.90000000000009</v>
      </c>
      <c r="Y173" s="29">
        <v>587.4</v>
      </c>
      <c r="Z173" s="29">
        <v>507.1</v>
      </c>
      <c r="AA173" s="29">
        <v>522.70000000000005</v>
      </c>
      <c r="AD173">
        <v>0.99706744868034525</v>
      </c>
      <c r="AE173">
        <v>2.3509655751469452</v>
      </c>
      <c r="AF173">
        <v>-3.4417727487034337</v>
      </c>
      <c r="AG173">
        <v>-7.1509009009008944</v>
      </c>
      <c r="AH173">
        <v>3.5281727224855128</v>
      </c>
      <c r="AI173">
        <v>3.4324942791762014</v>
      </c>
      <c r="AJ173">
        <v>-6.0556464811784085</v>
      </c>
      <c r="AK173">
        <v>-5.1578947368421115</v>
      </c>
      <c r="AL173">
        <v>-10.695187165775401</v>
      </c>
      <c r="AM173">
        <v>-6.012658227848104</v>
      </c>
      <c r="AN173">
        <v>-5.2631578947368451</v>
      </c>
      <c r="AO173">
        <v>24.591487134043923</v>
      </c>
      <c r="AP173">
        <v>-2.5462962962962994</v>
      </c>
      <c r="AQ173">
        <v>0.44272274488102459</v>
      </c>
      <c r="AR173">
        <v>-3.1082529474812342</v>
      </c>
      <c r="AS173">
        <v>-3.3613445378151261</v>
      </c>
      <c r="AT173">
        <v>2.167338709677411</v>
      </c>
      <c r="AU173">
        <v>-4.4406970207982042</v>
      </c>
      <c r="AV173">
        <v>-0.95505617977527446</v>
      </c>
      <c r="BL173" s="2">
        <v>1.357733175914984</v>
      </c>
      <c r="BM173" s="2">
        <v>-0.72115384615385636</v>
      </c>
      <c r="BN173" s="2">
        <v>-1.8613308515588647</v>
      </c>
      <c r="BO173" s="2">
        <v>-0.58173356602675974</v>
      </c>
      <c r="BP173" s="2">
        <v>5.8513750731418554E-2</v>
      </c>
      <c r="BQ173" s="2">
        <v>-1.146650573325273</v>
      </c>
      <c r="BR173" s="2">
        <v>-12.642169728783905</v>
      </c>
      <c r="BS173" s="2">
        <v>-5.8858151854028443E-2</v>
      </c>
      <c r="BT173" s="2">
        <v>-1.2155591572123177</v>
      </c>
      <c r="BU173" s="2">
        <v>1.7820773930753562</v>
      </c>
      <c r="BV173" s="2">
        <v>5.1361386138613936</v>
      </c>
      <c r="BW173" s="2">
        <v>-1.6710182767623962</v>
      </c>
      <c r="BX173" s="2">
        <v>-2.0185488270594747</v>
      </c>
      <c r="BY173" s="2">
        <v>4.9521665728756394</v>
      </c>
      <c r="BZ173" s="2">
        <v>3.6467236467236499</v>
      </c>
      <c r="CA173" s="2">
        <v>7.8105781057810688</v>
      </c>
      <c r="CB173" s="2">
        <v>4.2626728110599119</v>
      </c>
      <c r="CC173" s="2">
        <v>2.6506024096385574</v>
      </c>
      <c r="CD173" s="2">
        <v>0</v>
      </c>
      <c r="CE173" s="2">
        <v>1.1425135297654703</v>
      </c>
      <c r="CF173" s="2">
        <v>-0.11607661056298145</v>
      </c>
      <c r="CG173" s="2">
        <v>2.2896393817973668</v>
      </c>
      <c r="CH173" s="2">
        <v>1.2850467289719727</v>
      </c>
      <c r="CI173" s="2">
        <v>-1.8990504747626102</v>
      </c>
      <c r="CJ173" s="2">
        <v>2.2182254196642619</v>
      </c>
      <c r="CK173" s="2">
        <v>0.79863091842554312</v>
      </c>
    </row>
    <row r="174" spans="1:89" x14ac:dyDescent="0.35">
      <c r="A174">
        <v>2022</v>
      </c>
      <c r="B174" t="s">
        <v>41</v>
      </c>
      <c r="C174" s="29">
        <v>491.3</v>
      </c>
      <c r="D174" s="29">
        <v>629.59999999999991</v>
      </c>
      <c r="E174" s="29">
        <v>509.59999999999997</v>
      </c>
      <c r="F174" s="29">
        <v>509.3</v>
      </c>
      <c r="G174" s="29">
        <v>497.3</v>
      </c>
      <c r="H174" s="29">
        <v>589.5</v>
      </c>
      <c r="I174" s="29">
        <v>507.29999999999995</v>
      </c>
      <c r="J174" s="29">
        <v>365.5</v>
      </c>
      <c r="K174" s="29">
        <v>590</v>
      </c>
      <c r="L174" s="29">
        <v>505.9</v>
      </c>
      <c r="M174" s="29">
        <v>562.6</v>
      </c>
      <c r="N174" s="29">
        <v>535.1</v>
      </c>
      <c r="O174" s="29">
        <v>562.09999999999991</v>
      </c>
      <c r="P174" s="29">
        <v>540.6</v>
      </c>
      <c r="Q174" s="29">
        <v>519.29999999999995</v>
      </c>
      <c r="R174" s="29">
        <v>537.4</v>
      </c>
      <c r="S174" s="29">
        <v>508.1</v>
      </c>
      <c r="T174" s="29">
        <v>478.25509999999997</v>
      </c>
      <c r="U174" s="29">
        <v>503.4</v>
      </c>
      <c r="V174" s="29">
        <v>512.79999999999995</v>
      </c>
      <c r="W174" s="29">
        <v>531.79999999999995</v>
      </c>
      <c r="X174" s="29">
        <v>520.20000000000005</v>
      </c>
      <c r="Y174" s="29">
        <v>590.1</v>
      </c>
      <c r="Z174" s="29">
        <v>508.9</v>
      </c>
      <c r="AA174" s="29">
        <v>525.79999999999995</v>
      </c>
      <c r="AD174">
        <v>-0.6387921022067331</v>
      </c>
      <c r="AE174">
        <v>-1.5586546349466821</v>
      </c>
      <c r="AF174">
        <v>2.3925781249999889</v>
      </c>
      <c r="AG174">
        <v>4.4875682231655585</v>
      </c>
      <c r="AH174">
        <v>-1.831129196337739</v>
      </c>
      <c r="AI174">
        <v>-2.101769911504431</v>
      </c>
      <c r="AJ174">
        <v>4.0650406504065044</v>
      </c>
      <c r="AK174">
        <v>3.2741398446170953</v>
      </c>
      <c r="AL174">
        <v>7.0059880239520895</v>
      </c>
      <c r="AM174">
        <v>3.8720538720538751</v>
      </c>
      <c r="AN174">
        <v>2.9550827423167849</v>
      </c>
      <c r="AO174">
        <v>0</v>
      </c>
      <c r="AP174">
        <v>1.1282660332541601</v>
      </c>
      <c r="AQ174">
        <v>-0.27548209366391185</v>
      </c>
      <c r="AR174">
        <v>1.991150442477873</v>
      </c>
      <c r="AS174">
        <v>1.4492753623188406</v>
      </c>
      <c r="AT174">
        <v>-1.5786877158362058</v>
      </c>
      <c r="AU174">
        <v>2.4117647058823497</v>
      </c>
      <c r="AV174">
        <v>0.51049347702778058</v>
      </c>
      <c r="BL174" s="2">
        <v>1.7472335468841003</v>
      </c>
      <c r="BM174" s="2">
        <v>1.0290556900726495</v>
      </c>
      <c r="BN174" s="2">
        <v>-1.7543859649122886</v>
      </c>
      <c r="BO174" s="2">
        <v>5.4417788180222253</v>
      </c>
      <c r="BP174" s="2">
        <v>-5.8479532163739363E-2</v>
      </c>
      <c r="BQ174" s="2">
        <v>-2.8693528693528796</v>
      </c>
      <c r="BR174" s="2">
        <v>-14.071106659989981</v>
      </c>
      <c r="BS174" s="2">
        <v>0.23557126030622921</v>
      </c>
      <c r="BT174" s="2">
        <v>-0.32813781788351576</v>
      </c>
      <c r="BU174" s="2">
        <v>2.4512256128064061</v>
      </c>
      <c r="BV174" s="2">
        <v>3.8257798705120658</v>
      </c>
      <c r="BW174" s="2">
        <v>-0.74349442379182451</v>
      </c>
      <c r="BX174" s="2">
        <v>-1.6703786191536749</v>
      </c>
      <c r="BY174" s="2">
        <v>4.0214477211796247</v>
      </c>
      <c r="BZ174" s="2">
        <v>2.9136888400219805</v>
      </c>
      <c r="CA174" s="2">
        <v>5.647461494580706</v>
      </c>
      <c r="CB174" s="2">
        <v>3.2596685082872958</v>
      </c>
      <c r="CC174" s="2">
        <v>2.9929577464788699</v>
      </c>
      <c r="CD174" s="2">
        <v>-18.659404205607473</v>
      </c>
      <c r="CE174" s="2">
        <v>1.5457788347205843</v>
      </c>
      <c r="CF174" s="2">
        <v>0.75537478210343489</v>
      </c>
      <c r="CG174" s="2">
        <v>2.0145495243424865</v>
      </c>
      <c r="CH174" s="2">
        <v>2.0184544405997693</v>
      </c>
      <c r="CI174" s="2">
        <v>-0.40753948038716831</v>
      </c>
      <c r="CJ174" s="2">
        <v>2.4046920821114335</v>
      </c>
      <c r="CK174" s="2">
        <v>0.62252405206566086</v>
      </c>
    </row>
    <row r="175" spans="1:89" x14ac:dyDescent="0.35">
      <c r="A175">
        <v>2022</v>
      </c>
      <c r="B175" t="s">
        <v>42</v>
      </c>
      <c r="C175" s="29">
        <v>496.3</v>
      </c>
      <c r="D175" s="29">
        <v>634.6</v>
      </c>
      <c r="E175" s="29">
        <v>513.1</v>
      </c>
      <c r="F175" s="29">
        <v>512.79999999999995</v>
      </c>
      <c r="G175" s="29">
        <v>491.7</v>
      </c>
      <c r="H175" s="29">
        <v>613.09999999999991</v>
      </c>
      <c r="I175" s="29">
        <v>509.40000000000003</v>
      </c>
      <c r="J175" s="29">
        <v>366.4</v>
      </c>
      <c r="K175" s="29">
        <v>597.9</v>
      </c>
      <c r="L175" s="29">
        <v>507.29999999999995</v>
      </c>
      <c r="M175" s="29">
        <v>565.40000000000009</v>
      </c>
      <c r="N175" s="29">
        <v>540.30000000000007</v>
      </c>
      <c r="O175" s="29">
        <v>555.79999999999995</v>
      </c>
      <c r="P175" s="29">
        <v>543.5</v>
      </c>
      <c r="Q175" s="29">
        <v>522.29999999999995</v>
      </c>
      <c r="R175" s="29">
        <v>540.5</v>
      </c>
      <c r="S175" s="29">
        <v>510.79999999999995</v>
      </c>
      <c r="T175" s="29">
        <v>481.6551</v>
      </c>
      <c r="U175" s="29">
        <v>505.09999999999997</v>
      </c>
      <c r="V175" s="29">
        <v>516.4</v>
      </c>
      <c r="W175" s="29">
        <v>534.59999999999991</v>
      </c>
      <c r="X175" s="29">
        <v>521.1</v>
      </c>
      <c r="Y175" s="29">
        <v>591.29999999999995</v>
      </c>
      <c r="Z175" s="29">
        <v>511.20000000000005</v>
      </c>
      <c r="AA175" s="29">
        <v>529.90000000000009</v>
      </c>
      <c r="AD175">
        <v>0.9935710111046272</v>
      </c>
      <c r="AE175">
        <v>0.33333333333333809</v>
      </c>
      <c r="AF175">
        <v>2.7658559847401105</v>
      </c>
      <c r="AG175">
        <v>3.424260011607648</v>
      </c>
      <c r="AH175">
        <v>-1.2953367875647668</v>
      </c>
      <c r="AI175">
        <v>-0.84745762711864403</v>
      </c>
      <c r="AJ175">
        <v>-0.39062499999999367</v>
      </c>
      <c r="AK175">
        <v>2.4717893605588364</v>
      </c>
      <c r="AL175">
        <v>4.8125349748181439</v>
      </c>
      <c r="AM175">
        <v>2.7552674230145837</v>
      </c>
      <c r="AN175">
        <v>2.81285878300804</v>
      </c>
      <c r="AO175">
        <v>-19.737694524495677</v>
      </c>
      <c r="AP175">
        <v>1.7028772753963459</v>
      </c>
      <c r="AQ175">
        <v>1.5469613259668571</v>
      </c>
      <c r="AR175">
        <v>1.5184381778741773</v>
      </c>
      <c r="AS175">
        <v>2.5142857142857173</v>
      </c>
      <c r="AT175">
        <v>0</v>
      </c>
      <c r="AU175">
        <v>2.757036186099949</v>
      </c>
      <c r="AV175">
        <v>0.90293453724606265</v>
      </c>
      <c r="BL175" s="2">
        <v>-2.9192902117916235</v>
      </c>
      <c r="BM175" s="2">
        <v>0.89874176153385255</v>
      </c>
      <c r="BN175" s="2">
        <v>2.9922779922780007</v>
      </c>
      <c r="BO175" s="2">
        <v>1.6648168701442843</v>
      </c>
      <c r="BP175" s="2">
        <v>0.81919251023990969</v>
      </c>
      <c r="BQ175" s="2">
        <v>2.1998742928975488</v>
      </c>
      <c r="BR175" s="2">
        <v>19.755244755244757</v>
      </c>
      <c r="BS175" s="2">
        <v>0.47003525264395507</v>
      </c>
      <c r="BT175" s="2">
        <v>1.5637860082304573</v>
      </c>
      <c r="BU175" s="2">
        <v>-2.9296875</v>
      </c>
      <c r="BV175" s="2">
        <v>-8.1065759637188268</v>
      </c>
      <c r="BW175" s="2">
        <v>2.9427501337613697</v>
      </c>
      <c r="BX175" s="2">
        <v>2.6613816534541432</v>
      </c>
      <c r="BY175" s="2">
        <v>-7.216494845360824</v>
      </c>
      <c r="BZ175" s="2">
        <v>-5.6089743589743595</v>
      </c>
      <c r="CA175" s="2">
        <v>-11.717062634989194</v>
      </c>
      <c r="CB175" s="2">
        <v>-6.5275548421615923</v>
      </c>
      <c r="CC175" s="2">
        <v>-4.9002849002848974</v>
      </c>
      <c r="CD175" s="2">
        <v>23.370705992096529</v>
      </c>
      <c r="CE175" s="2">
        <v>-2.4004683840749546</v>
      </c>
      <c r="CF175" s="2">
        <v>0.23068050749711974</v>
      </c>
      <c r="CG175" s="2">
        <v>-3.5655512890839272</v>
      </c>
      <c r="CH175" s="2">
        <v>-3.0525720746184315</v>
      </c>
      <c r="CI175" s="2">
        <v>2.60869565217391</v>
      </c>
      <c r="CJ175" s="2">
        <v>-4.1237113402061789</v>
      </c>
      <c r="CK175" s="2">
        <v>-2.0809898762654764</v>
      </c>
    </row>
    <row r="176" spans="1:89" x14ac:dyDescent="0.35">
      <c r="A176">
        <v>2022</v>
      </c>
      <c r="B176" t="s">
        <v>44</v>
      </c>
      <c r="C176" s="29">
        <v>502.70000000000005</v>
      </c>
      <c r="D176" s="29">
        <v>630</v>
      </c>
      <c r="E176" s="29">
        <v>544.79999999999995</v>
      </c>
      <c r="F176" s="29">
        <v>516.90000000000009</v>
      </c>
      <c r="G176" s="29">
        <v>482.4</v>
      </c>
      <c r="H176" s="29">
        <v>560.20000000000005</v>
      </c>
      <c r="I176" s="29">
        <v>511.7</v>
      </c>
      <c r="J176" s="29">
        <v>367</v>
      </c>
      <c r="K176" s="29">
        <v>606.40000000000009</v>
      </c>
      <c r="L176" s="29">
        <v>508.9</v>
      </c>
      <c r="M176" s="29">
        <v>568.79999999999995</v>
      </c>
      <c r="N176" s="29">
        <v>536.20000000000005</v>
      </c>
      <c r="O176" s="29">
        <v>562.9</v>
      </c>
      <c r="P176" s="29">
        <v>547</v>
      </c>
      <c r="Q176" s="29">
        <v>524.9</v>
      </c>
      <c r="R176" s="29">
        <v>543.70000000000005</v>
      </c>
      <c r="S176" s="29">
        <v>513.79999999999995</v>
      </c>
      <c r="T176" s="29">
        <v>482.85510000000005</v>
      </c>
      <c r="U176" s="29">
        <v>506</v>
      </c>
      <c r="V176" s="29">
        <v>520.80000000000007</v>
      </c>
      <c r="W176" s="29">
        <v>537.90000000000009</v>
      </c>
      <c r="X176" s="29">
        <v>522.09999999999991</v>
      </c>
      <c r="Y176" s="29">
        <v>593</v>
      </c>
      <c r="Z176" s="29">
        <v>513.1</v>
      </c>
      <c r="AA176" s="29">
        <v>528.4</v>
      </c>
      <c r="AD176">
        <v>1.0995370370370239</v>
      </c>
      <c r="AE176">
        <v>2.2425249169435122</v>
      </c>
      <c r="AF176">
        <v>-3.5730858468677442</v>
      </c>
      <c r="AG176">
        <v>-7.1268237934904537</v>
      </c>
      <c r="AH176">
        <v>3.4120734908136483</v>
      </c>
      <c r="AI176">
        <v>3.7606837606837575</v>
      </c>
      <c r="AJ176">
        <v>-5.4901960784313788</v>
      </c>
      <c r="AK176">
        <v>-5.0865233350812735</v>
      </c>
      <c r="AL176">
        <v>-10.46449546182596</v>
      </c>
      <c r="AM176">
        <v>-5.941114616193472</v>
      </c>
      <c r="AN176">
        <v>-5.3042992741485202</v>
      </c>
      <c r="AO176">
        <v>25.812268275991322</v>
      </c>
      <c r="AP176">
        <v>-2.540415704387978</v>
      </c>
      <c r="AQ176">
        <v>0.3264417845484191</v>
      </c>
      <c r="AR176">
        <v>-3.0448717948717889</v>
      </c>
      <c r="AS176">
        <v>-2.8985507246376905</v>
      </c>
      <c r="AT176">
        <v>2.0050125313283207</v>
      </c>
      <c r="AU176">
        <v>-4.4717719396310782</v>
      </c>
      <c r="AV176">
        <v>-0.78299776286353784</v>
      </c>
      <c r="BL176" s="2">
        <v>1.5035377358490465</v>
      </c>
      <c r="BM176" s="2">
        <v>-0.59382422802850354</v>
      </c>
      <c r="BN176" s="2">
        <v>-1.874414245548266</v>
      </c>
      <c r="BO176" s="2">
        <v>-0.98253275109169369</v>
      </c>
      <c r="BP176" s="2">
        <v>0</v>
      </c>
      <c r="BQ176" s="2">
        <v>-1.1685116851168549</v>
      </c>
      <c r="BR176" s="2">
        <v>-10.900243309002436</v>
      </c>
      <c r="BS176" s="2">
        <v>-0.29239766081871343</v>
      </c>
      <c r="BT176" s="2">
        <v>-1.0534846029173512</v>
      </c>
      <c r="BU176" s="2">
        <v>2.0120724346076457</v>
      </c>
      <c r="BV176" s="2">
        <v>5.1202961135101859</v>
      </c>
      <c r="BW176" s="2">
        <v>-1.5072765072765102</v>
      </c>
      <c r="BX176" s="2">
        <v>-1.6547159404302261</v>
      </c>
      <c r="BY176" s="2">
        <v>4.9444444444444482</v>
      </c>
      <c r="BZ176" s="2">
        <v>3.6219581211092282</v>
      </c>
      <c r="CA176" s="2">
        <v>7.76758409785932</v>
      </c>
      <c r="CB176" s="2">
        <v>4.235832856325132</v>
      </c>
      <c r="CC176" s="2">
        <v>2.6962252846015575</v>
      </c>
      <c r="CD176" s="2">
        <v>0</v>
      </c>
      <c r="CE176" s="2">
        <v>1.0797840431913686</v>
      </c>
      <c r="CF176" s="2">
        <v>-0.11507479861911221</v>
      </c>
      <c r="CG176" s="2">
        <v>2.2753128555176336</v>
      </c>
      <c r="CH176" s="2">
        <v>1.2827988338192353</v>
      </c>
      <c r="CI176" s="2">
        <v>-1.8444666001993963</v>
      </c>
      <c r="CJ176" s="2">
        <v>2.2102747909199456</v>
      </c>
      <c r="CK176" s="2">
        <v>1.3785180930499745</v>
      </c>
    </row>
    <row r="177" spans="1:89" x14ac:dyDescent="0.35">
      <c r="A177">
        <v>2022</v>
      </c>
      <c r="B177" t="s">
        <v>45</v>
      </c>
      <c r="C177" s="29">
        <v>508.2</v>
      </c>
      <c r="D177" s="29">
        <v>628.79999999999995</v>
      </c>
      <c r="E177" s="29">
        <v>571.20000000000005</v>
      </c>
      <c r="F177" s="29">
        <v>520.9</v>
      </c>
      <c r="G177" s="29">
        <v>474.2</v>
      </c>
      <c r="H177" s="29">
        <v>488.79999999999995</v>
      </c>
      <c r="I177" s="29">
        <v>512.6</v>
      </c>
      <c r="J177" s="29">
        <v>366.1</v>
      </c>
      <c r="K177" s="29">
        <v>613.20000000000005</v>
      </c>
      <c r="L177" s="29">
        <v>510.6</v>
      </c>
      <c r="M177" s="29">
        <v>571.29999999999995</v>
      </c>
      <c r="N177" s="29">
        <v>528.9</v>
      </c>
      <c r="O177" s="29">
        <v>561.5</v>
      </c>
      <c r="P177" s="29">
        <v>549.79999999999995</v>
      </c>
      <c r="Q177" s="29">
        <v>527.4</v>
      </c>
      <c r="R177" s="29">
        <v>546.5</v>
      </c>
      <c r="S177" s="29">
        <v>515.80000000000007</v>
      </c>
      <c r="T177" s="29">
        <v>480.6551</v>
      </c>
      <c r="U177" s="29">
        <v>507.19999999999993</v>
      </c>
      <c r="V177" s="29">
        <v>527.5</v>
      </c>
      <c r="W177" s="29">
        <v>541.79999999999995</v>
      </c>
      <c r="X177" s="29">
        <v>523.20000000000005</v>
      </c>
      <c r="Y177" s="29">
        <v>594.29999999999995</v>
      </c>
      <c r="Z177" s="29">
        <v>515.70000000000005</v>
      </c>
      <c r="AA177" s="29">
        <v>526.9</v>
      </c>
      <c r="AD177">
        <v>-0.74413279908413454</v>
      </c>
      <c r="AE177">
        <v>-1.4622258326563746</v>
      </c>
      <c r="AF177">
        <v>2.4542829643888329</v>
      </c>
      <c r="AG177">
        <v>4.4712990936555927</v>
      </c>
      <c r="AH177">
        <v>-1.7766497461928936</v>
      </c>
      <c r="AI177">
        <v>-2.3064250411861553</v>
      </c>
      <c r="AJ177">
        <v>3.6751630112626068</v>
      </c>
      <c r="AK177">
        <v>3.2596685082872958</v>
      </c>
      <c r="AL177">
        <v>6.8574836016696494</v>
      </c>
      <c r="AM177">
        <v>3.8010061486864073</v>
      </c>
      <c r="AN177">
        <v>2.9481132075471699</v>
      </c>
      <c r="AO177">
        <v>0</v>
      </c>
      <c r="AP177">
        <v>1.1255924170615978</v>
      </c>
      <c r="AQ177">
        <v>-0.21691973969631545</v>
      </c>
      <c r="AR177">
        <v>1.9283746556473829</v>
      </c>
      <c r="AS177">
        <v>1.2629161882893325</v>
      </c>
      <c r="AT177">
        <v>-1.425061425061428</v>
      </c>
      <c r="AU177">
        <v>2.3990637799882939</v>
      </c>
      <c r="AV177">
        <v>0.39458850056369144</v>
      </c>
      <c r="BL177" s="2">
        <v>1.8297995933778715</v>
      </c>
      <c r="BM177" s="2">
        <v>0.83632019115890432</v>
      </c>
      <c r="BN177" s="2">
        <v>-1.1938872970391594</v>
      </c>
      <c r="BO177" s="2">
        <v>4.2447629547960251</v>
      </c>
      <c r="BP177" s="2">
        <v>0</v>
      </c>
      <c r="BQ177" s="2">
        <v>-2.4891101431238334</v>
      </c>
      <c r="BR177" s="2">
        <v>-17.968323320589846</v>
      </c>
      <c r="BS177" s="2">
        <v>0</v>
      </c>
      <c r="BT177" s="2">
        <v>-0.73710073710073021</v>
      </c>
      <c r="BU177" s="2">
        <v>2.317554240631158</v>
      </c>
      <c r="BV177" s="2">
        <v>3.7558685446009425</v>
      </c>
      <c r="BW177" s="2">
        <v>-0.94986807387863403</v>
      </c>
      <c r="BX177" s="2">
        <v>-2.1873247335950676</v>
      </c>
      <c r="BY177" s="2">
        <v>2.6469031233456857</v>
      </c>
      <c r="BZ177" s="2">
        <v>2.7307482250136537</v>
      </c>
      <c r="CA177" s="2">
        <v>5.5051078320090907</v>
      </c>
      <c r="CB177" s="2">
        <v>3.1301482701812287</v>
      </c>
      <c r="CC177" s="2">
        <v>2.9171528588098017</v>
      </c>
      <c r="CD177" s="2">
        <v>-18.943480791618168</v>
      </c>
      <c r="CE177" s="2">
        <v>1.6023738872403492</v>
      </c>
      <c r="CF177" s="2">
        <v>1.2096774193548356</v>
      </c>
      <c r="CG177" s="2">
        <v>2.0578420467185699</v>
      </c>
      <c r="CH177" s="2">
        <v>2.0725388601036401</v>
      </c>
      <c r="CI177" s="2">
        <v>-0.50787201625190448</v>
      </c>
      <c r="CJ177" s="2">
        <v>2.5715955581531302</v>
      </c>
      <c r="CK177" s="2">
        <v>0.33994334277620075</v>
      </c>
    </row>
    <row r="178" spans="1:89" x14ac:dyDescent="0.35">
      <c r="A178">
        <v>2023</v>
      </c>
      <c r="B178" t="s">
        <v>31</v>
      </c>
      <c r="C178" s="29">
        <v>521.1</v>
      </c>
      <c r="D178" s="29">
        <v>634.20000000000005</v>
      </c>
      <c r="E178" s="29">
        <v>584.4</v>
      </c>
      <c r="F178" s="29">
        <v>524.1</v>
      </c>
      <c r="G178" s="29">
        <v>475.1</v>
      </c>
      <c r="H178" s="29">
        <v>472.1</v>
      </c>
      <c r="I178" s="29">
        <v>512.79999999999995</v>
      </c>
      <c r="J178" s="29">
        <v>364.1</v>
      </c>
      <c r="K178" s="29">
        <v>623.20000000000005</v>
      </c>
      <c r="L178" s="29">
        <v>512</v>
      </c>
      <c r="M178" s="29">
        <v>574</v>
      </c>
      <c r="N178" s="29">
        <v>531.20000000000005</v>
      </c>
      <c r="O178" s="29">
        <v>557.79999999999995</v>
      </c>
      <c r="P178" s="29">
        <v>552.6</v>
      </c>
      <c r="Q178" s="29">
        <v>529.20000000000005</v>
      </c>
      <c r="R178" s="29">
        <v>549</v>
      </c>
      <c r="S178" s="29">
        <v>518.1</v>
      </c>
      <c r="T178" s="29">
        <v>483.45510000000002</v>
      </c>
      <c r="U178" s="29">
        <v>509.1</v>
      </c>
      <c r="V178" s="29">
        <v>535.80000000000007</v>
      </c>
      <c r="W178" s="29">
        <v>545.5</v>
      </c>
      <c r="X178" s="29">
        <v>523.90000000000009</v>
      </c>
      <c r="Y178" s="29">
        <v>596.70000000000005</v>
      </c>
      <c r="Z178" s="29">
        <v>518.20000000000005</v>
      </c>
      <c r="AA178" s="29">
        <v>529.20000000000005</v>
      </c>
      <c r="AD178">
        <v>0.86505190311418678</v>
      </c>
      <c r="AE178">
        <v>0.494641384995885</v>
      </c>
      <c r="AF178">
        <v>3.8046031000469673</v>
      </c>
      <c r="AG178">
        <v>3.3545401966454493</v>
      </c>
      <c r="AH178">
        <v>-1.2403100775193827</v>
      </c>
      <c r="AI178">
        <v>-0.6183249016301261</v>
      </c>
      <c r="AJ178">
        <v>-0.91480846197827004</v>
      </c>
      <c r="AK178">
        <v>2.300695559122516</v>
      </c>
      <c r="AL178">
        <v>4.8549107142857242</v>
      </c>
      <c r="AM178">
        <v>2.7463651050080902</v>
      </c>
      <c r="AN178">
        <v>2.9782359679266994</v>
      </c>
      <c r="AO178">
        <v>-20.516495433789949</v>
      </c>
      <c r="AP178">
        <v>1.8160515524311793</v>
      </c>
      <c r="AQ178">
        <v>0.48913043478261176</v>
      </c>
      <c r="AR178">
        <v>1.5135135135135198</v>
      </c>
      <c r="AS178">
        <v>2.2108843537414997</v>
      </c>
      <c r="AT178">
        <v>-0.34895314057825955</v>
      </c>
      <c r="AU178">
        <v>2.5714285714285712</v>
      </c>
      <c r="AV178">
        <v>0.95451993262213197</v>
      </c>
      <c r="BL178" s="2">
        <v>-3.0233884768967547</v>
      </c>
      <c r="BM178" s="2">
        <v>0.82938388625591075</v>
      </c>
      <c r="BN178" s="2">
        <v>2.8999516674722088</v>
      </c>
      <c r="BO178" s="2">
        <v>1.4806980433633059</v>
      </c>
      <c r="BP178" s="2">
        <v>0.63842135809634026</v>
      </c>
      <c r="BQ178" s="2">
        <v>1.786853860880671</v>
      </c>
      <c r="BR178" s="2">
        <v>18.974700399467377</v>
      </c>
      <c r="BS178" s="2">
        <v>0.4692082111437017</v>
      </c>
      <c r="BT178" s="2">
        <v>1.5676567656765605</v>
      </c>
      <c r="BU178" s="2">
        <v>-3.3734939759036147</v>
      </c>
      <c r="BV178" s="2">
        <v>-7.9185520361990944</v>
      </c>
      <c r="BW178" s="2">
        <v>2.9834842834310189</v>
      </c>
      <c r="BX178" s="2">
        <v>2.4082568807339384</v>
      </c>
      <c r="BY178" s="2">
        <v>-7.632800412583812</v>
      </c>
      <c r="BZ178" s="2">
        <v>-5.5289739500265851</v>
      </c>
      <c r="CA178" s="2">
        <v>-11.511565357719206</v>
      </c>
      <c r="CB178" s="2">
        <v>-6.4430244941427173</v>
      </c>
      <c r="CC178" s="2">
        <v>-5.1587301587301555</v>
      </c>
      <c r="CD178" s="2">
        <v>22.580788782601132</v>
      </c>
      <c r="CE178" s="2">
        <v>-2.3948598130841088</v>
      </c>
      <c r="CF178" s="2">
        <v>0.17074558907228879</v>
      </c>
      <c r="CG178" s="2">
        <v>-3.4332425068119954</v>
      </c>
      <c r="CH178" s="2">
        <v>-3.102086858432036</v>
      </c>
      <c r="CI178" s="2">
        <v>2.6544155181214846</v>
      </c>
      <c r="CJ178" s="2">
        <v>-4.1595441595441658</v>
      </c>
      <c r="CK178" s="2">
        <v>-1.6939582156973461</v>
      </c>
    </row>
    <row r="179" spans="1:89" x14ac:dyDescent="0.35">
      <c r="A179">
        <v>2023</v>
      </c>
      <c r="B179" t="s">
        <v>34</v>
      </c>
      <c r="C179" s="29">
        <v>523.29999999999995</v>
      </c>
      <c r="D179" s="29">
        <v>625.09999999999991</v>
      </c>
      <c r="E179" s="29">
        <v>526.29999999999995</v>
      </c>
      <c r="F179" s="29">
        <v>532.20000000000005</v>
      </c>
      <c r="G179" s="29">
        <v>508.79999999999995</v>
      </c>
      <c r="H179" s="29">
        <v>469.40000000000003</v>
      </c>
      <c r="I179" s="29">
        <v>513.6</v>
      </c>
      <c r="J179" s="29">
        <v>361</v>
      </c>
      <c r="K179" s="29">
        <v>626.59999999999991</v>
      </c>
      <c r="L179" s="29">
        <v>514.79999999999995</v>
      </c>
      <c r="M179" s="29">
        <v>579.5</v>
      </c>
      <c r="N179" s="29">
        <v>532.5</v>
      </c>
      <c r="O179" s="29">
        <v>534.90000000000009</v>
      </c>
      <c r="P179" s="29">
        <v>556.5</v>
      </c>
      <c r="Q179" s="29">
        <v>532.70000000000005</v>
      </c>
      <c r="R179" s="29">
        <v>552.9</v>
      </c>
      <c r="S179" s="29">
        <v>522</v>
      </c>
      <c r="T179" s="29">
        <v>486.25509999999997</v>
      </c>
      <c r="U179" s="29">
        <v>511.50000000000006</v>
      </c>
      <c r="V179" s="29">
        <v>543.1</v>
      </c>
      <c r="W179" s="29">
        <v>551.79999999999995</v>
      </c>
      <c r="X179" s="29">
        <v>526</v>
      </c>
      <c r="Y179" s="29">
        <v>600.5</v>
      </c>
      <c r="Z179" s="29">
        <v>522</v>
      </c>
      <c r="AA179" s="29">
        <v>531.5</v>
      </c>
      <c r="AD179">
        <v>1.1435105774728416</v>
      </c>
      <c r="AE179">
        <v>1.8867924528301863</v>
      </c>
      <c r="AF179">
        <v>-4.1176470588235263</v>
      </c>
      <c r="AG179">
        <v>-7.1628427532176744</v>
      </c>
      <c r="AH179">
        <v>3.4536891679748791</v>
      </c>
      <c r="AI179">
        <v>3.5633484162895828</v>
      </c>
      <c r="AJ179">
        <v>-5.1356030005770368</v>
      </c>
      <c r="AK179">
        <v>-5.1778242677824151</v>
      </c>
      <c r="AL179">
        <v>-10.537519957424166</v>
      </c>
      <c r="AM179">
        <v>-6.0272536687631026</v>
      </c>
      <c r="AN179">
        <v>-5.3948832035595196</v>
      </c>
      <c r="AO179">
        <v>26.099510897626011</v>
      </c>
      <c r="AP179">
        <v>-2.6467203682393685</v>
      </c>
      <c r="AQ179">
        <v>0.37858301784747894</v>
      </c>
      <c r="AR179">
        <v>-2.9818956336528339</v>
      </c>
      <c r="AS179">
        <v>-3.0504714364947305</v>
      </c>
      <c r="AT179">
        <v>2.1510755377688757</v>
      </c>
      <c r="AU179">
        <v>-4.4011142061281374</v>
      </c>
      <c r="AV179">
        <v>-0.88987764182426177</v>
      </c>
      <c r="BL179" s="2">
        <v>1.5882352941176403</v>
      </c>
      <c r="BM179" s="2">
        <v>-0.58754406580493534</v>
      </c>
      <c r="BN179" s="2">
        <v>-1.8318459370596549</v>
      </c>
      <c r="BO179" s="2">
        <v>-0.88587806149036841</v>
      </c>
      <c r="BP179" s="2">
        <v>0.28835063437139563</v>
      </c>
      <c r="BQ179" s="2">
        <v>-0.94043887147335425</v>
      </c>
      <c r="BR179" s="2">
        <v>-10.520425293788463</v>
      </c>
      <c r="BS179" s="2">
        <v>-0.29188558085230587</v>
      </c>
      <c r="BT179" s="2">
        <v>-1.0560519902518255</v>
      </c>
      <c r="BU179" s="2">
        <v>2.3441396508728123</v>
      </c>
      <c r="BV179" s="2">
        <v>5.0368550368550293</v>
      </c>
      <c r="BW179" s="2">
        <v>-1.5519917227108122</v>
      </c>
      <c r="BX179" s="2">
        <v>-1.5117581187010014</v>
      </c>
      <c r="BY179" s="2">
        <v>5.2484645449469607</v>
      </c>
      <c r="BZ179" s="2">
        <v>3.5453010692177891</v>
      </c>
      <c r="CA179" s="2">
        <v>7.598784194528875</v>
      </c>
      <c r="CB179" s="2">
        <v>4.1548093340922092</v>
      </c>
      <c r="CC179" s="2">
        <v>2.8690974297668754</v>
      </c>
      <c r="CD179" s="2">
        <v>0</v>
      </c>
      <c r="CE179" s="2">
        <v>1.0771992818671523</v>
      </c>
      <c r="CF179" s="2">
        <v>-0.11363636363635717</v>
      </c>
      <c r="CG179" s="2">
        <v>2.2009029345372495</v>
      </c>
      <c r="CH179" s="2">
        <v>1.3387660069848561</v>
      </c>
      <c r="CI179" s="2">
        <v>-1.8896071606166003</v>
      </c>
      <c r="CJ179" s="2">
        <v>2.2592152199762254</v>
      </c>
      <c r="CK179" s="2">
        <v>0.91901206203331087</v>
      </c>
    </row>
    <row r="180" spans="1:89" x14ac:dyDescent="0.35">
      <c r="A180">
        <v>2023</v>
      </c>
      <c r="B180" t="s">
        <v>35</v>
      </c>
      <c r="C180" s="29">
        <v>523.4</v>
      </c>
      <c r="D180" s="29">
        <v>625.09999999999991</v>
      </c>
      <c r="E180" s="29">
        <v>526.29999999999995</v>
      </c>
      <c r="F180" s="29">
        <v>532.20000000000005</v>
      </c>
      <c r="G180" s="29">
        <v>508.79999999999995</v>
      </c>
      <c r="H180" s="29">
        <v>469.6</v>
      </c>
      <c r="I180" s="29">
        <v>513.79999999999995</v>
      </c>
      <c r="J180" s="29">
        <v>361</v>
      </c>
      <c r="K180" s="29">
        <v>626.59999999999991</v>
      </c>
      <c r="L180" s="29">
        <v>514.79999999999995</v>
      </c>
      <c r="M180" s="29">
        <v>579.5</v>
      </c>
      <c r="N180" s="29">
        <v>532.6</v>
      </c>
      <c r="O180" s="29">
        <v>534.70000000000005</v>
      </c>
      <c r="P180" s="29">
        <v>556.29999999999995</v>
      </c>
      <c r="Q180" s="29">
        <v>532.70000000000005</v>
      </c>
      <c r="R180" s="29">
        <v>552.9</v>
      </c>
      <c r="S180" s="29">
        <v>522</v>
      </c>
      <c r="T180" s="29">
        <v>486.25509999999997</v>
      </c>
      <c r="U180" s="29">
        <v>511.50000000000006</v>
      </c>
      <c r="V180" s="29">
        <v>543.20000000000005</v>
      </c>
      <c r="W180" s="29">
        <v>551.79999999999995</v>
      </c>
      <c r="X180" s="29">
        <v>526</v>
      </c>
      <c r="Y180" s="29">
        <v>600.6</v>
      </c>
      <c r="Z180" s="29">
        <v>522</v>
      </c>
      <c r="AA180" s="29">
        <v>531.5</v>
      </c>
      <c r="AD180">
        <v>-0.73487846240814658</v>
      </c>
      <c r="AE180">
        <v>-1.2077294685990339</v>
      </c>
      <c r="AF180">
        <v>2.8787163756488883</v>
      </c>
      <c r="AG180">
        <v>4.5207956600361667</v>
      </c>
      <c r="AH180">
        <v>-1.7703591299949422</v>
      </c>
      <c r="AI180">
        <v>-2.1845985800109231</v>
      </c>
      <c r="AJ180">
        <v>3.4063260340632571</v>
      </c>
      <c r="AK180">
        <v>3.3094318808604521</v>
      </c>
      <c r="AL180">
        <v>6.900654372397379</v>
      </c>
      <c r="AM180">
        <v>3.8482989403234669</v>
      </c>
      <c r="AN180">
        <v>2.9982363315696614</v>
      </c>
      <c r="AO180">
        <v>0</v>
      </c>
      <c r="AP180">
        <v>1.1820330969267141</v>
      </c>
      <c r="AQ180">
        <v>-0.21551724137931341</v>
      </c>
      <c r="AR180">
        <v>1.9209659714599341</v>
      </c>
      <c r="AS180">
        <v>1.3157894736842008</v>
      </c>
      <c r="AT180">
        <v>-1.5670910871694361</v>
      </c>
      <c r="AU180">
        <v>2.3892773892773862</v>
      </c>
      <c r="AV180">
        <v>0.5050505050505083</v>
      </c>
      <c r="BL180" s="2">
        <v>1.7371163867979156</v>
      </c>
      <c r="BM180" s="2">
        <v>2.8368794326241202</v>
      </c>
      <c r="BN180" s="2">
        <v>-0.3349282296650663</v>
      </c>
      <c r="BO180" s="2">
        <v>1.41955835962146</v>
      </c>
      <c r="BP180" s="2">
        <v>-0.17251293847039181</v>
      </c>
      <c r="BQ180" s="2">
        <v>-1.0759493670886002</v>
      </c>
      <c r="BR180" s="2">
        <v>-10.63164477798624</v>
      </c>
      <c r="BS180" s="2">
        <v>-5.8548009367694803E-2</v>
      </c>
      <c r="BT180" s="2">
        <v>-1.2315270935960592</v>
      </c>
      <c r="BU180" s="2">
        <v>2.5828460038986414</v>
      </c>
      <c r="BV180" s="2">
        <v>3.4502923976608222</v>
      </c>
      <c r="BW180" s="2">
        <v>-0.94587493431424663</v>
      </c>
      <c r="BX180" s="2">
        <v>-0.51165434906197027</v>
      </c>
      <c r="BY180" s="2">
        <v>2.1750663129973447</v>
      </c>
      <c r="BZ180" s="2">
        <v>2.7173913043478262</v>
      </c>
      <c r="CA180" s="2">
        <v>5.2542372881355996</v>
      </c>
      <c r="CB180" s="2">
        <v>3.0601092896174831</v>
      </c>
      <c r="CC180" s="2">
        <v>2.9633933759442153</v>
      </c>
      <c r="CD180" s="2">
        <v>-18.421148213239597</v>
      </c>
      <c r="CE180" s="2">
        <v>1.7169923031379548</v>
      </c>
      <c r="CF180" s="2">
        <v>1.4789533560864587</v>
      </c>
      <c r="CG180" s="2">
        <v>1.9878520154610682</v>
      </c>
      <c r="CH180" s="2">
        <v>2.125215393452049</v>
      </c>
      <c r="CI180" s="2">
        <v>-0.20273694880892329</v>
      </c>
      <c r="CJ180" s="2">
        <v>2.6162790697674421</v>
      </c>
      <c r="CK180" s="2">
        <v>1.195219123505989</v>
      </c>
    </row>
    <row r="181" spans="1:89" x14ac:dyDescent="0.35">
      <c r="A181">
        <v>2023</v>
      </c>
      <c r="B181" t="s">
        <v>36</v>
      </c>
      <c r="C181" s="29">
        <v>521.90000000000009</v>
      </c>
      <c r="D181" s="29">
        <v>629.90000000000009</v>
      </c>
      <c r="E181" s="29">
        <v>509.9</v>
      </c>
      <c r="F181" s="29">
        <v>535.4</v>
      </c>
      <c r="G181" s="29">
        <v>529.20000000000005</v>
      </c>
      <c r="H181" s="29">
        <v>478.1</v>
      </c>
      <c r="I181" s="29">
        <v>520.9</v>
      </c>
      <c r="J181" s="29">
        <v>364.8</v>
      </c>
      <c r="K181" s="29">
        <v>636.20000000000005</v>
      </c>
      <c r="L181" s="29">
        <v>516.6</v>
      </c>
      <c r="M181" s="29">
        <v>581</v>
      </c>
      <c r="N181" s="29">
        <v>535.5</v>
      </c>
      <c r="O181" s="29">
        <v>522.1</v>
      </c>
      <c r="P181" s="29">
        <v>558.6</v>
      </c>
      <c r="Q181" s="29">
        <v>534.20000000000005</v>
      </c>
      <c r="R181" s="29">
        <v>554.79999999999995</v>
      </c>
      <c r="S181" s="29">
        <v>523.29999999999995</v>
      </c>
      <c r="T181" s="29">
        <v>489.6551</v>
      </c>
      <c r="U181" s="29">
        <v>512.70000000000005</v>
      </c>
      <c r="V181" s="29">
        <v>552.20000000000005</v>
      </c>
      <c r="W181" s="29">
        <v>553.70000000000005</v>
      </c>
      <c r="X181" s="29">
        <v>530</v>
      </c>
      <c r="Y181" s="29">
        <v>603.6</v>
      </c>
      <c r="Z181" s="29">
        <v>524.79999999999995</v>
      </c>
      <c r="AA181" s="29">
        <v>534.30000000000007</v>
      </c>
      <c r="BL181" s="2">
        <v>-3.3579965850882054</v>
      </c>
      <c r="BM181" s="2">
        <v>-0.40229885057470616</v>
      </c>
      <c r="BN181" s="2">
        <v>3.3125300048007573</v>
      </c>
      <c r="BO181" s="2">
        <v>2.1254536029030557</v>
      </c>
      <c r="BP181" s="2">
        <v>0.40322580645162276</v>
      </c>
      <c r="BQ181" s="2">
        <v>2.6871401151631407</v>
      </c>
      <c r="BR181" s="2">
        <v>22.673198040587828</v>
      </c>
      <c r="BS181" s="2">
        <v>0.29291154071470415</v>
      </c>
      <c r="BT181" s="2">
        <v>1.9950124688279349</v>
      </c>
      <c r="BU181" s="2">
        <v>-2.9453681710213724</v>
      </c>
      <c r="BV181" s="2">
        <v>-7.4618428490672795</v>
      </c>
      <c r="BW181" s="2">
        <v>3.0769230769230829</v>
      </c>
      <c r="BX181" s="2">
        <v>2.5714285714285712</v>
      </c>
      <c r="BY181" s="2">
        <v>-7.580477673935615</v>
      </c>
      <c r="BZ181" s="2">
        <v>-5.4497354497354555</v>
      </c>
      <c r="CA181" s="2">
        <v>-11.272141706924314</v>
      </c>
      <c r="CB181" s="2">
        <v>-6.3626723223753983</v>
      </c>
      <c r="CC181" s="2">
        <v>-5.1918735891647794</v>
      </c>
      <c r="CD181" s="2">
        <v>23.586137958322528</v>
      </c>
      <c r="CE181" s="2">
        <v>-2.3282887077997669</v>
      </c>
      <c r="CF181" s="2">
        <v>0.22421524663677447</v>
      </c>
      <c r="CG181" s="2">
        <v>-3.3567948023822356</v>
      </c>
      <c r="CH181" s="2">
        <v>-3.3745781777277837</v>
      </c>
      <c r="CI181" s="2">
        <v>2.3869984763839454</v>
      </c>
      <c r="CJ181" s="2">
        <v>-4.3059490084985805</v>
      </c>
      <c r="CK181" s="2">
        <v>-1.6310461192350987</v>
      </c>
    </row>
    <row r="182" spans="1:89" x14ac:dyDescent="0.35">
      <c r="A182">
        <v>2023</v>
      </c>
      <c r="B182" t="s">
        <v>37</v>
      </c>
      <c r="C182" s="29">
        <v>521.59999999999991</v>
      </c>
      <c r="D182" s="29">
        <v>645.20000000000005</v>
      </c>
      <c r="E182" s="29">
        <v>520.9</v>
      </c>
      <c r="F182" s="29">
        <v>538.5</v>
      </c>
      <c r="G182" s="29">
        <v>517</v>
      </c>
      <c r="H182" s="29">
        <v>494.7</v>
      </c>
      <c r="I182" s="29">
        <v>527.4</v>
      </c>
      <c r="J182" s="29">
        <v>368.8</v>
      </c>
      <c r="K182" s="29">
        <v>650.9</v>
      </c>
      <c r="L182" s="29">
        <v>518</v>
      </c>
      <c r="M182" s="29">
        <v>583</v>
      </c>
      <c r="N182" s="29">
        <v>539</v>
      </c>
      <c r="O182" s="29">
        <v>507.70000000000005</v>
      </c>
      <c r="P182" s="29">
        <v>559.79999999999995</v>
      </c>
      <c r="Q182" s="29">
        <v>535.70000000000005</v>
      </c>
      <c r="R182" s="29">
        <v>556.29999999999995</v>
      </c>
      <c r="S182" s="29">
        <v>525.09999999999991</v>
      </c>
      <c r="T182" s="29">
        <v>490.45510000000002</v>
      </c>
      <c r="U182" s="29">
        <v>514.20000000000005</v>
      </c>
      <c r="V182" s="29">
        <v>555.70000000000005</v>
      </c>
      <c r="W182" s="29">
        <v>555.70000000000005</v>
      </c>
      <c r="X182" s="29">
        <v>532.20000000000005</v>
      </c>
      <c r="Y182" s="29">
        <v>605.1</v>
      </c>
      <c r="Z182" s="29">
        <v>526.79999999999995</v>
      </c>
      <c r="AA182" s="29">
        <v>537.1</v>
      </c>
      <c r="BL182" s="2">
        <v>1.7667844522968195</v>
      </c>
      <c r="BM182" s="2">
        <v>0.2885170225043277</v>
      </c>
      <c r="BN182" s="2">
        <v>-2.0910780669144984</v>
      </c>
      <c r="BO182" s="2">
        <v>-1.2690355329949239</v>
      </c>
      <c r="BP182" s="2">
        <v>0.51635111876074424</v>
      </c>
      <c r="BQ182" s="2">
        <v>-1.3707165109034196</v>
      </c>
      <c r="BR182" s="2">
        <v>-12.207644038790647</v>
      </c>
      <c r="BS182" s="2">
        <v>-0.17523364485980314</v>
      </c>
      <c r="BT182" s="2">
        <v>-1.3039934800326067</v>
      </c>
      <c r="BU182" s="2">
        <v>2.006852667645616</v>
      </c>
      <c r="BV182" s="2">
        <v>4.7037263286499797</v>
      </c>
      <c r="BW182" s="2">
        <v>-1.5954709212558018</v>
      </c>
      <c r="BX182" s="2">
        <v>-1.5598885793871931</v>
      </c>
      <c r="BY182" s="2">
        <v>5.1685393258426897</v>
      </c>
      <c r="BZ182" s="2">
        <v>3.4695019585898255</v>
      </c>
      <c r="CA182" s="2">
        <v>7.4410163339382827</v>
      </c>
      <c r="CB182" s="2">
        <v>4.0770101925254911</v>
      </c>
      <c r="CC182" s="2">
        <v>2.9166666666666701</v>
      </c>
      <c r="CD182" s="2">
        <v>0</v>
      </c>
      <c r="CE182" s="2">
        <v>1.0131108462455236</v>
      </c>
      <c r="CF182" s="2">
        <v>-0.11185682326622878</v>
      </c>
      <c r="CG182" s="2">
        <v>2.1288515406162527</v>
      </c>
      <c r="CH182" s="2">
        <v>1.4551804423748544</v>
      </c>
      <c r="CI182" s="2">
        <v>-1.6865079365079396</v>
      </c>
      <c r="CJ182" s="2">
        <v>2.3090586145648344</v>
      </c>
      <c r="CK182" s="2">
        <v>0.91480846197827004</v>
      </c>
    </row>
    <row r="183" spans="1:89" x14ac:dyDescent="0.35">
      <c r="BL183" s="2">
        <v>1.4467592592592591</v>
      </c>
      <c r="BM183" s="2">
        <v>0.23014959723819173</v>
      </c>
      <c r="BN183" s="2">
        <v>-2.6103464641670624</v>
      </c>
      <c r="BO183" s="2">
        <v>-10.591259640102825</v>
      </c>
      <c r="BP183" s="2">
        <v>-0.3424657534246543</v>
      </c>
      <c r="BQ183" s="2">
        <v>5.6222362602653044</v>
      </c>
      <c r="BR183" s="2">
        <v>-8.4470435347628321</v>
      </c>
      <c r="BS183" s="2">
        <v>-0.29256875365710944</v>
      </c>
      <c r="BT183" s="2">
        <v>-1.6515276630883566</v>
      </c>
      <c r="BU183" s="2">
        <v>1.7754318618042171</v>
      </c>
      <c r="BV183" s="2">
        <v>3.6172695449241474</v>
      </c>
      <c r="BW183" s="2">
        <v>-0.67991631799162289</v>
      </c>
      <c r="BX183" s="2">
        <v>-1.0752688172042884</v>
      </c>
      <c r="BY183" s="2">
        <v>-2.0299145299145209</v>
      </c>
      <c r="BZ183" s="2">
        <v>2.7582477014602458</v>
      </c>
      <c r="CA183" s="2">
        <v>5.2927927927927962</v>
      </c>
      <c r="CB183" s="2">
        <v>3.1556039173014048</v>
      </c>
      <c r="CC183" s="2">
        <v>3.2967032967032899</v>
      </c>
      <c r="CD183" s="2">
        <v>-19.08477629285299</v>
      </c>
      <c r="CE183" s="2">
        <v>1.9469026548672632</v>
      </c>
      <c r="CF183" s="2">
        <v>1.1758118701007807</v>
      </c>
      <c r="CG183" s="2">
        <v>2.3587493143170506</v>
      </c>
      <c r="CH183" s="2">
        <v>2.4096385542168606</v>
      </c>
      <c r="CI183" s="2">
        <v>5.0454086781040734E-2</v>
      </c>
      <c r="CJ183" s="2">
        <v>2.9513888888888853</v>
      </c>
      <c r="CK183" s="2">
        <v>0.84985835694051004</v>
      </c>
    </row>
    <row r="184" spans="1:89" x14ac:dyDescent="0.35">
      <c r="BL184" s="2">
        <v>-2.2818026240730176</v>
      </c>
      <c r="BM184" s="2">
        <v>0.28702640642939153</v>
      </c>
      <c r="BN184" s="2">
        <v>3.4113060428849908</v>
      </c>
      <c r="BO184" s="2">
        <v>1.8976423231742281</v>
      </c>
      <c r="BP184" s="2">
        <v>1.3745704467353985</v>
      </c>
      <c r="BQ184" s="2">
        <v>2.9306220095693813</v>
      </c>
      <c r="BR184" s="2">
        <v>24.769339957416612</v>
      </c>
      <c r="BS184" s="2">
        <v>1.056338028169004</v>
      </c>
      <c r="BT184" s="2">
        <v>2.3509655751469452</v>
      </c>
      <c r="BU184" s="2">
        <v>-3.4417727487034337</v>
      </c>
      <c r="BV184" s="2">
        <v>-7.1509009009008944</v>
      </c>
      <c r="BW184" s="2">
        <v>3.5281727224855128</v>
      </c>
      <c r="BX184" s="2">
        <v>3.3752860411899186</v>
      </c>
      <c r="BY184" s="2">
        <v>-6.106870229007642</v>
      </c>
      <c r="BZ184" s="2">
        <v>-5.105263157894731</v>
      </c>
      <c r="CA184" s="2">
        <v>-10.695187165775401</v>
      </c>
      <c r="CB184" s="2">
        <v>-6.012658227848104</v>
      </c>
      <c r="CC184" s="2">
        <v>-5.2631578947368451</v>
      </c>
      <c r="CD184" s="2">
        <v>24.591487134043923</v>
      </c>
      <c r="CE184" s="2">
        <v>-2.5462962962962994</v>
      </c>
      <c r="CF184" s="2">
        <v>0.38738240177090044</v>
      </c>
      <c r="CG184" s="2">
        <v>-3.1082529474812342</v>
      </c>
      <c r="CH184" s="2">
        <v>-3.3613445378151261</v>
      </c>
      <c r="CI184" s="2">
        <v>2.2188603126575779</v>
      </c>
      <c r="CJ184" s="2">
        <v>-4.4406970207982042</v>
      </c>
      <c r="CK184" s="2">
        <v>-0.95505617977527446</v>
      </c>
    </row>
    <row r="185" spans="1:89" x14ac:dyDescent="0.35">
      <c r="BL185" s="2">
        <v>1.0799766491535119</v>
      </c>
      <c r="BM185" s="2">
        <v>-0.17172295363479276</v>
      </c>
      <c r="BN185" s="2">
        <v>-2.1206409048067862</v>
      </c>
      <c r="BO185" s="2">
        <v>-1.1286681715575622</v>
      </c>
      <c r="BP185" s="2">
        <v>0.50847457627118964</v>
      </c>
      <c r="BQ185" s="2">
        <v>-1.5107495642068531</v>
      </c>
      <c r="BR185" s="2">
        <v>-13.139931740614347</v>
      </c>
      <c r="BS185" s="2">
        <v>-0.69686411149825123</v>
      </c>
      <c r="BT185" s="2">
        <v>-1.5586546349466821</v>
      </c>
      <c r="BU185" s="2">
        <v>2.3925781249999889</v>
      </c>
      <c r="BV185" s="2">
        <v>4.4875682231655585</v>
      </c>
      <c r="BW185" s="2">
        <v>-1.831129196337739</v>
      </c>
      <c r="BX185" s="2">
        <v>-2.047592695074703</v>
      </c>
      <c r="BY185" s="2">
        <v>4.1231126596980392</v>
      </c>
      <c r="BZ185" s="2">
        <v>3.272323904603426</v>
      </c>
      <c r="CA185" s="2">
        <v>7.0059880239520895</v>
      </c>
      <c r="CB185" s="2">
        <v>3.8720538720538751</v>
      </c>
      <c r="CC185" s="2">
        <v>2.9550827423167849</v>
      </c>
      <c r="CD185" s="2">
        <v>0</v>
      </c>
      <c r="CE185" s="2">
        <v>1.1282660332541601</v>
      </c>
      <c r="CF185" s="2">
        <v>-0.22050716648291382</v>
      </c>
      <c r="CG185" s="2">
        <v>1.991150442477873</v>
      </c>
      <c r="CH185" s="2">
        <v>1.4492753623188406</v>
      </c>
      <c r="CI185" s="2">
        <v>-1.5786877158362058</v>
      </c>
      <c r="CJ185" s="2">
        <v>2.4117647058823497</v>
      </c>
      <c r="CK185" s="2">
        <v>0.51049347702778058</v>
      </c>
    </row>
    <row r="186" spans="1:89" x14ac:dyDescent="0.35">
      <c r="BL186" s="2">
        <v>1.1839445567427154</v>
      </c>
      <c r="BM186" s="2">
        <v>-5.7339449541281146E-2</v>
      </c>
      <c r="BN186" s="2">
        <v>-1.203659123736158</v>
      </c>
      <c r="BO186" s="2">
        <v>-0.74200913242008171</v>
      </c>
      <c r="BP186" s="2">
        <v>-0.33726812816188545</v>
      </c>
      <c r="BQ186" s="2">
        <v>-1.3569321533923371</v>
      </c>
      <c r="BR186" s="2">
        <v>-7.727570399476086</v>
      </c>
      <c r="BS186" s="2">
        <v>-0.29239766081871343</v>
      </c>
      <c r="BT186" s="2">
        <v>-0.75000000000000477</v>
      </c>
      <c r="BU186" s="2">
        <v>1.1444921316165979</v>
      </c>
      <c r="BV186" s="2">
        <v>3.0760301799187362</v>
      </c>
      <c r="BW186" s="2">
        <v>-1.6062176165803081</v>
      </c>
      <c r="BX186" s="2">
        <v>-1.2429378531073383</v>
      </c>
      <c r="BY186" s="2">
        <v>2.2308979364194088</v>
      </c>
      <c r="BZ186" s="2">
        <v>2.0408163265306185</v>
      </c>
      <c r="CA186" s="2">
        <v>4.6446558477895978</v>
      </c>
      <c r="CB186" s="2">
        <v>2.4311183144246353</v>
      </c>
      <c r="CC186" s="2">
        <v>2.5258323765786486</v>
      </c>
      <c r="CD186" s="2">
        <v>-19.737694524495677</v>
      </c>
      <c r="CE186" s="2">
        <v>1.467997651203758</v>
      </c>
      <c r="CF186" s="2">
        <v>-0.16574585635359745</v>
      </c>
      <c r="CG186" s="2">
        <v>1.1930585683297117</v>
      </c>
      <c r="CH186" s="2">
        <v>2</v>
      </c>
      <c r="CI186" s="2">
        <v>-0.55137844611528541</v>
      </c>
      <c r="CJ186" s="2">
        <v>2.1826536473291278</v>
      </c>
      <c r="CK186" s="2">
        <v>0.45146726862303133</v>
      </c>
    </row>
    <row r="187" spans="1:89" x14ac:dyDescent="0.35">
      <c r="BL187" s="2">
        <v>-2.2831050228310503</v>
      </c>
      <c r="BM187" s="2">
        <v>0.22948938611587907</v>
      </c>
      <c r="BN187" s="2">
        <v>3.4113060428849908</v>
      </c>
      <c r="BO187" s="2">
        <v>1.8976423231742281</v>
      </c>
      <c r="BP187" s="2">
        <v>-0.1692047377326629</v>
      </c>
      <c r="BQ187" s="2">
        <v>2.9306220095693813</v>
      </c>
      <c r="BR187" s="2">
        <v>24.840312278211496</v>
      </c>
      <c r="BS187" s="2">
        <v>0.99706744868034525</v>
      </c>
      <c r="BT187" s="2">
        <v>2.3509655751469452</v>
      </c>
      <c r="BU187" s="2">
        <v>-3.4417727487034337</v>
      </c>
      <c r="BV187" s="2">
        <v>-7.1509009009008944</v>
      </c>
      <c r="BW187" s="2">
        <v>3.5281727224855128</v>
      </c>
      <c r="BX187" s="2">
        <v>3.4324942791762014</v>
      </c>
      <c r="BY187" s="2">
        <v>-6.0556464811784085</v>
      </c>
      <c r="BZ187" s="2">
        <v>-5.1578947368421115</v>
      </c>
      <c r="CA187" s="2">
        <v>-10.695187165775401</v>
      </c>
      <c r="CB187" s="2">
        <v>-6.012658227848104</v>
      </c>
      <c r="CC187" s="2">
        <v>-5.2631578947368451</v>
      </c>
      <c r="CD187" s="2">
        <v>24.591487134043923</v>
      </c>
      <c r="CE187" s="2">
        <v>-2.5462962962962994</v>
      </c>
      <c r="CF187" s="2">
        <v>0.44272274488102459</v>
      </c>
      <c r="CG187" s="2">
        <v>-3.1082529474812342</v>
      </c>
      <c r="CH187" s="2">
        <v>-3.3613445378151261</v>
      </c>
      <c r="CI187" s="2">
        <v>2.167338709677411</v>
      </c>
      <c r="CJ187" s="2">
        <v>-4.4406970207982042</v>
      </c>
      <c r="CK187" s="2">
        <v>-0.95505617977527446</v>
      </c>
    </row>
    <row r="188" spans="1:89" x14ac:dyDescent="0.35">
      <c r="BL188" s="2">
        <v>1.0806074766355274</v>
      </c>
      <c r="BM188" s="2">
        <v>-0.17172295363479276</v>
      </c>
      <c r="BN188" s="2">
        <v>-2.1206409048067862</v>
      </c>
      <c r="BO188" s="2">
        <v>-1.1286681715575622</v>
      </c>
      <c r="BP188" s="2">
        <v>0.50847457627118964</v>
      </c>
      <c r="BQ188" s="2">
        <v>-1.5107495642068531</v>
      </c>
      <c r="BR188" s="2">
        <v>-13.132461625923817</v>
      </c>
      <c r="BS188" s="2">
        <v>-0.6387921022067331</v>
      </c>
      <c r="BT188" s="2">
        <v>-1.5586546349466821</v>
      </c>
      <c r="BU188" s="2">
        <v>2.3925781249999889</v>
      </c>
      <c r="BV188" s="2">
        <v>4.4875682231655585</v>
      </c>
      <c r="BW188" s="2">
        <v>-1.831129196337739</v>
      </c>
      <c r="BX188" s="2">
        <v>-2.101769911504431</v>
      </c>
      <c r="BY188" s="2">
        <v>4.0650406504065044</v>
      </c>
      <c r="BZ188" s="2">
        <v>3.2741398446170953</v>
      </c>
      <c r="CA188" s="2">
        <v>7.0059880239520895</v>
      </c>
      <c r="CB188" s="2">
        <v>3.8720538720538751</v>
      </c>
      <c r="CC188" s="2">
        <v>2.9550827423167849</v>
      </c>
      <c r="CD188" s="2">
        <v>0</v>
      </c>
      <c r="CE188" s="2">
        <v>1.1282660332541601</v>
      </c>
      <c r="CF188" s="2">
        <v>-0.27548209366391185</v>
      </c>
      <c r="CG188" s="2">
        <v>1.991150442477873</v>
      </c>
      <c r="CH188" s="2">
        <v>1.4492753623188406</v>
      </c>
      <c r="CI188" s="2">
        <v>-1.5786877158362058</v>
      </c>
      <c r="CJ188" s="2">
        <v>2.4117647058823497</v>
      </c>
      <c r="CK188" s="2">
        <v>0.51049347702778058</v>
      </c>
    </row>
    <row r="189" spans="1:89" x14ac:dyDescent="0.35">
      <c r="BL189" s="2">
        <v>1.3868824039294869</v>
      </c>
      <c r="BM189" s="2">
        <v>-0.63073394495412516</v>
      </c>
      <c r="BN189" s="2">
        <v>-0.38517091959556232</v>
      </c>
      <c r="BO189" s="2">
        <v>-4.1666666666666572</v>
      </c>
      <c r="BP189" s="2">
        <v>-0.33726812816188545</v>
      </c>
      <c r="BQ189" s="2">
        <v>2.4778761061946835</v>
      </c>
      <c r="BR189" s="2">
        <v>-6.5445026178010473</v>
      </c>
      <c r="BS189" s="2">
        <v>0.9935710111046272</v>
      </c>
      <c r="BT189" s="2">
        <v>0.33333333333333809</v>
      </c>
      <c r="BU189" s="2">
        <v>2.7658559847401105</v>
      </c>
      <c r="BV189" s="2">
        <v>3.424260011607648</v>
      </c>
      <c r="BW189" s="2">
        <v>-1.2953367875647668</v>
      </c>
      <c r="BX189" s="2">
        <v>-0.84745762711864403</v>
      </c>
      <c r="BY189" s="2">
        <v>-0.39062499999999367</v>
      </c>
      <c r="BZ189" s="2">
        <v>2.4717893605588364</v>
      </c>
      <c r="CA189" s="2">
        <v>4.8125349748181439</v>
      </c>
      <c r="CB189" s="2">
        <v>2.7552674230145837</v>
      </c>
      <c r="CC189" s="2">
        <v>2.81285878300804</v>
      </c>
      <c r="CD189" s="2">
        <v>-19.737694524495677</v>
      </c>
      <c r="CE189" s="2">
        <v>1.7028772753963459</v>
      </c>
      <c r="CF189" s="2">
        <v>1.5469613259668571</v>
      </c>
      <c r="CG189" s="2">
        <v>1.5184381778741773</v>
      </c>
      <c r="CH189" s="2">
        <v>2.5142857142857173</v>
      </c>
      <c r="CI189" s="2">
        <v>0</v>
      </c>
      <c r="CJ189" s="2">
        <v>2.757036186099949</v>
      </c>
      <c r="CK189" s="2">
        <v>0.90293453724606265</v>
      </c>
    </row>
    <row r="190" spans="1:89" x14ac:dyDescent="0.35">
      <c r="A190" s="30" t="s">
        <v>118</v>
      </c>
      <c r="B190" s="30"/>
      <c r="C190" s="31" t="s">
        <v>84</v>
      </c>
      <c r="D190" s="31" t="s">
        <v>119</v>
      </c>
      <c r="E190" s="31" t="s">
        <v>86</v>
      </c>
      <c r="F190" s="31" t="s">
        <v>87</v>
      </c>
      <c r="G190" s="31" t="s">
        <v>120</v>
      </c>
      <c r="H190" s="31" t="s">
        <v>121</v>
      </c>
      <c r="I190" s="31" t="s">
        <v>90</v>
      </c>
      <c r="J190" s="31" t="s">
        <v>91</v>
      </c>
      <c r="K190" s="31" t="s">
        <v>92</v>
      </c>
      <c r="L190" s="31" t="s">
        <v>93</v>
      </c>
      <c r="M190" s="31" t="s">
        <v>122</v>
      </c>
      <c r="N190" s="31" t="s">
        <v>95</v>
      </c>
      <c r="O190" s="31" t="s">
        <v>123</v>
      </c>
      <c r="P190" s="31" t="s">
        <v>124</v>
      </c>
      <c r="Q190" s="31" t="s">
        <v>110</v>
      </c>
      <c r="R190" s="31" t="s">
        <v>19</v>
      </c>
      <c r="S190" s="31" t="s">
        <v>22</v>
      </c>
      <c r="T190" s="31" t="s">
        <v>20</v>
      </c>
      <c r="U190" s="31" t="s">
        <v>111</v>
      </c>
      <c r="V190" s="31" t="s">
        <v>112</v>
      </c>
      <c r="W190" s="31" t="s">
        <v>113</v>
      </c>
      <c r="X190" s="31" t="s">
        <v>114</v>
      </c>
      <c r="Y190" s="31" t="s">
        <v>115</v>
      </c>
      <c r="Z190" s="31" t="s">
        <v>116</v>
      </c>
      <c r="AA190" s="31" t="s">
        <v>117</v>
      </c>
      <c r="AB190" s="2"/>
      <c r="BL190" s="2">
        <v>1.733102253032929</v>
      </c>
      <c r="BM190" s="2">
        <v>-0.34522439585732034</v>
      </c>
      <c r="BN190" s="2">
        <v>1.0511227902532196</v>
      </c>
      <c r="BO190" s="2">
        <v>0.82547169811321097</v>
      </c>
      <c r="BP190" s="2">
        <v>-0.22371364653244163</v>
      </c>
      <c r="BQ190" s="2">
        <v>-4.1406693136698873</v>
      </c>
      <c r="BR190" s="2">
        <v>-4.3114543114543222</v>
      </c>
      <c r="BS190" s="2">
        <v>0.86505190311418678</v>
      </c>
      <c r="BT190" s="2">
        <v>0.494641384995885</v>
      </c>
      <c r="BU190" s="2">
        <v>3.8046031000469673</v>
      </c>
      <c r="BV190" s="2">
        <v>3.3545401966454493</v>
      </c>
      <c r="BW190" s="2">
        <v>-1.2403100775193827</v>
      </c>
      <c r="BX190" s="2">
        <v>-0.6183249016301261</v>
      </c>
      <c r="BY190" s="2">
        <v>-0.91480846197827004</v>
      </c>
      <c r="BZ190" s="2">
        <v>2.300695559122516</v>
      </c>
      <c r="CA190" s="2">
        <v>4.8549107142857242</v>
      </c>
      <c r="CB190" s="2">
        <v>2.7463651050080902</v>
      </c>
      <c r="CC190" s="2">
        <v>2.9782359679266994</v>
      </c>
      <c r="CD190" s="2">
        <v>-20.516495433789949</v>
      </c>
      <c r="CE190" s="2">
        <v>1.8160515524311793</v>
      </c>
      <c r="CF190" s="2">
        <v>0.48913043478261176</v>
      </c>
      <c r="CG190" s="2">
        <v>1.5135135135135198</v>
      </c>
      <c r="CH190" s="2">
        <v>2.2108843537414997</v>
      </c>
      <c r="CI190" s="2">
        <v>-0.34895314057825955</v>
      </c>
      <c r="CJ190" s="2">
        <v>2.5714285714285712</v>
      </c>
      <c r="CK190" s="2">
        <v>0.95451993262213197</v>
      </c>
    </row>
    <row r="191" spans="1:89" x14ac:dyDescent="0.35">
      <c r="A191" s="2"/>
      <c r="B191" s="2"/>
      <c r="C191" s="2"/>
      <c r="D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BL191" s="2">
        <v>-2.3850085178875573</v>
      </c>
      <c r="BM191" s="2">
        <v>0.86605080831408787</v>
      </c>
      <c r="BN191" s="2">
        <v>3.7352245862884188</v>
      </c>
      <c r="BO191" s="2">
        <v>3.3333333333333264</v>
      </c>
      <c r="BP191" s="2">
        <v>0.67264573991030752</v>
      </c>
      <c r="BQ191" s="2">
        <v>4.0236686390532617</v>
      </c>
      <c r="BR191" s="2">
        <v>24.411566913248159</v>
      </c>
      <c r="BS191" s="2">
        <v>1.1435105774728416</v>
      </c>
      <c r="BT191" s="2">
        <v>1.8867924528301863</v>
      </c>
      <c r="BU191" s="2">
        <v>-4.1176470588235263</v>
      </c>
      <c r="BV191" s="2">
        <v>-7.1628427532176744</v>
      </c>
      <c r="BW191" s="2">
        <v>3.4536891679748791</v>
      </c>
      <c r="BX191" s="2">
        <v>3.5633484162895828</v>
      </c>
      <c r="BY191" s="2">
        <v>-5.1356030005770368</v>
      </c>
      <c r="BZ191" s="2">
        <v>-5.1778242677824151</v>
      </c>
      <c r="CA191" s="2">
        <v>-10.537519957424166</v>
      </c>
      <c r="CB191" s="2">
        <v>-6.0272536687631026</v>
      </c>
      <c r="CC191" s="2">
        <v>-5.3948832035595196</v>
      </c>
      <c r="CD191" s="2">
        <v>26.099510897626011</v>
      </c>
      <c r="CE191" s="2">
        <v>-2.6467203682393685</v>
      </c>
      <c r="CF191" s="2">
        <v>0.37858301784747894</v>
      </c>
      <c r="CG191" s="2">
        <v>-2.9818956336528339</v>
      </c>
      <c r="CH191" s="2">
        <v>-3.0504714364947305</v>
      </c>
      <c r="CI191" s="2">
        <v>2.1510755377688757</v>
      </c>
      <c r="CJ191" s="2">
        <v>-4.4011142061281374</v>
      </c>
      <c r="CK191" s="2">
        <v>-0.88987764182426177</v>
      </c>
    </row>
    <row r="192" spans="1:89" x14ac:dyDescent="0.35">
      <c r="A192" s="2">
        <v>2.7304147465437709</v>
      </c>
      <c r="B192" s="2">
        <v>-0.15507525953540544</v>
      </c>
      <c r="C192" s="2">
        <v>-0.36672014668805086</v>
      </c>
      <c r="D192" s="2">
        <v>-1.8693221523410086</v>
      </c>
      <c r="E192" s="2">
        <v>-3.8892050844242188</v>
      </c>
      <c r="F192" s="2">
        <v>0.36756756756756509</v>
      </c>
      <c r="G192" s="2">
        <v>0.73463935886018572</v>
      </c>
      <c r="H192" s="2">
        <v>-16.796874999999996</v>
      </c>
      <c r="I192" s="2">
        <v>-1.0580912863070469</v>
      </c>
      <c r="J192" s="2">
        <v>-1.5085581665216099</v>
      </c>
      <c r="K192" s="2">
        <v>4.0691759918614172E-2</v>
      </c>
      <c r="L192" s="2">
        <v>2.401939180255614</v>
      </c>
      <c r="M192" s="2">
        <v>1.126533896600286</v>
      </c>
      <c r="N192" s="2">
        <v>-2.3966942148760375</v>
      </c>
      <c r="O192" s="2">
        <v>5.1800800355713683</v>
      </c>
      <c r="P192" s="2">
        <v>1.0741138560687311</v>
      </c>
      <c r="Q192" s="2">
        <v>0.84901330885725823</v>
      </c>
      <c r="R192" s="2">
        <v>1.0407632263660165</v>
      </c>
      <c r="S192" s="2">
        <v>0.57829181494662418</v>
      </c>
      <c r="T192" s="2">
        <v>0.92377716647191366</v>
      </c>
      <c r="U192" s="2">
        <v>1.2663852477227258</v>
      </c>
      <c r="V192" s="2">
        <v>-0.63734862970044615</v>
      </c>
      <c r="W192" s="2">
        <v>1.2607690691321707</v>
      </c>
      <c r="X192" s="2">
        <v>0.18796992481202532</v>
      </c>
      <c r="Y192" s="2">
        <v>0.92378752886836846</v>
      </c>
      <c r="Z192" s="2">
        <v>0.98814229249011865</v>
      </c>
      <c r="AA192" s="2">
        <v>-0.42390843577788401</v>
      </c>
      <c r="AB192" s="2"/>
      <c r="BL192" s="2">
        <v>1.1052937754508467</v>
      </c>
      <c r="BM192" s="2">
        <v>-0.5724098454493417</v>
      </c>
      <c r="BN192" s="2">
        <v>-2.3245214220601613</v>
      </c>
      <c r="BO192" s="2">
        <v>-1.9807583474816073</v>
      </c>
      <c r="BP192" s="2">
        <v>-0.11135857461023865</v>
      </c>
      <c r="BQ192" s="2">
        <v>-2.047781569965883</v>
      </c>
      <c r="BR192" s="2">
        <v>-12.972972972972974</v>
      </c>
      <c r="BS192" s="2">
        <v>-0.73487846240814658</v>
      </c>
      <c r="BT192" s="2">
        <v>-1.2077294685990339</v>
      </c>
      <c r="BU192" s="2">
        <v>2.8787163756488883</v>
      </c>
      <c r="BV192" s="2">
        <v>4.5207956600361667</v>
      </c>
      <c r="BW192" s="2">
        <v>-1.7703591299949422</v>
      </c>
      <c r="BX192" s="2">
        <v>-2.1845985800109231</v>
      </c>
      <c r="BY192" s="2">
        <v>3.4063260340632571</v>
      </c>
      <c r="BZ192" s="2">
        <v>3.3094318808604521</v>
      </c>
      <c r="CA192" s="2">
        <v>6.900654372397379</v>
      </c>
      <c r="CB192" s="2">
        <v>3.8482989403234669</v>
      </c>
      <c r="CC192" s="2">
        <v>2.9982363315696614</v>
      </c>
      <c r="CD192" s="2">
        <v>0</v>
      </c>
      <c r="CE192" s="2">
        <v>1.1820330969267141</v>
      </c>
      <c r="CF192" s="2">
        <v>-0.21551724137931341</v>
      </c>
      <c r="CG192" s="2">
        <v>1.9209659714599341</v>
      </c>
      <c r="CH192" s="2">
        <v>1.3157894736842008</v>
      </c>
      <c r="CI192" s="2">
        <v>-1.5670910871694361</v>
      </c>
      <c r="CJ192" s="2">
        <v>2.3892773892773862</v>
      </c>
      <c r="CK192" s="2">
        <v>0.5050505050505083</v>
      </c>
    </row>
    <row r="193" spans="1:28" x14ac:dyDescent="0.35">
      <c r="A193" s="2">
        <v>1.5476056969832981</v>
      </c>
      <c r="B193" s="2">
        <v>5.9204605842993592E-2</v>
      </c>
      <c r="C193" s="2">
        <v>-0.13802622498273887</v>
      </c>
      <c r="D193" s="2">
        <v>3.0977390065871213</v>
      </c>
      <c r="E193" s="2">
        <v>-2.9411764705882311</v>
      </c>
      <c r="F193" s="2">
        <v>0.17233950883240229</v>
      </c>
      <c r="G193" s="2">
        <v>1.9889502762430937</v>
      </c>
      <c r="H193" s="2">
        <v>-6.7973055725658202</v>
      </c>
      <c r="I193" s="2">
        <v>0.67100020968755114</v>
      </c>
      <c r="J193" s="2">
        <v>-0.26509572901324807</v>
      </c>
      <c r="K193" s="2">
        <v>-0.32540166768353995</v>
      </c>
      <c r="L193" s="2">
        <v>0.66709705186140866</v>
      </c>
      <c r="M193" s="2">
        <v>0.43763676148796271</v>
      </c>
      <c r="N193" s="2">
        <v>-0.16934801016088302</v>
      </c>
      <c r="O193" s="2">
        <v>3.2551257662227933</v>
      </c>
      <c r="P193" s="2">
        <v>0.42507970244422039</v>
      </c>
      <c r="Q193" s="2">
        <v>0.34129692832764508</v>
      </c>
      <c r="R193" s="2">
        <v>0.40772532188839483</v>
      </c>
      <c r="S193" s="2">
        <v>0.22114108801414042</v>
      </c>
      <c r="T193" s="2">
        <v>4.358674448643779E-2</v>
      </c>
      <c r="U193" s="2">
        <v>0.70206230802983516</v>
      </c>
      <c r="V193" s="2">
        <v>-1.2614924096643099</v>
      </c>
      <c r="W193" s="2">
        <v>0.26976551151690276</v>
      </c>
      <c r="X193" s="2">
        <v>0.39608088388575718</v>
      </c>
      <c r="Y193" s="2">
        <v>-7.0410139060020638E-2</v>
      </c>
      <c r="Z193" s="2">
        <v>0.26092628832355852</v>
      </c>
      <c r="AA193" s="2">
        <v>0.12771392081738603</v>
      </c>
      <c r="AB193" s="2"/>
    </row>
    <row r="194" spans="1:28" x14ac:dyDescent="0.35">
      <c r="A194" s="2">
        <v>0.15461071231363638</v>
      </c>
      <c r="B194" s="2">
        <v>-0.18325081244741612</v>
      </c>
      <c r="C194" s="2">
        <v>0.11518083390922441</v>
      </c>
      <c r="D194" s="2">
        <v>2.9183215334139345</v>
      </c>
      <c r="E194" s="2">
        <v>0.54911531421598303</v>
      </c>
      <c r="F194" s="2">
        <v>0.30107526881719943</v>
      </c>
      <c r="G194" s="2">
        <v>6.9989165763813546</v>
      </c>
      <c r="H194" s="2">
        <v>-3.4603591765221346</v>
      </c>
      <c r="I194" s="2">
        <v>1.1455946677775464</v>
      </c>
      <c r="J194" s="2">
        <v>0.44300059066745417</v>
      </c>
      <c r="K194" s="2">
        <v>0.2040399918384003</v>
      </c>
      <c r="L194" s="2">
        <v>0.6840530141086032</v>
      </c>
      <c r="M194" s="2">
        <v>0.43572984749455107</v>
      </c>
      <c r="N194" s="2">
        <v>0.8481764206955168</v>
      </c>
      <c r="O194" s="2">
        <v>3.7256908904810739</v>
      </c>
      <c r="P194" s="2">
        <v>0.61375661375662094</v>
      </c>
      <c r="Q194" s="2">
        <v>0.43083900226756855</v>
      </c>
      <c r="R194" s="2">
        <v>0.57704637743108478</v>
      </c>
      <c r="S194" s="2">
        <v>0.37511032656664728</v>
      </c>
      <c r="T194" s="2">
        <v>0.65351632080767641</v>
      </c>
      <c r="U194" s="2">
        <v>0.41394335511982072</v>
      </c>
      <c r="V194" s="2">
        <v>1.0394110004330903</v>
      </c>
      <c r="W194" s="2">
        <v>0.39321192052980836</v>
      </c>
      <c r="X194" s="2">
        <v>8.3056478405322709E-2</v>
      </c>
      <c r="Y194" s="2">
        <v>0.40514356174034782</v>
      </c>
      <c r="Z194" s="2">
        <v>0.39037085230968432</v>
      </c>
      <c r="AA194" s="2">
        <v>0.6377551020408162</v>
      </c>
      <c r="AB194" s="2"/>
    </row>
    <row r="195" spans="1:28" x14ac:dyDescent="0.35">
      <c r="A195" s="2">
        <v>1.8524644392987173</v>
      </c>
      <c r="B195" s="2">
        <v>4.5464603180878083E-2</v>
      </c>
      <c r="C195" s="2">
        <v>1.2885411872986707</v>
      </c>
      <c r="D195" s="2">
        <v>1.224832214765093</v>
      </c>
      <c r="E195" s="2">
        <v>3.5396440129449953</v>
      </c>
      <c r="F195" s="2">
        <v>0.42881646655231564</v>
      </c>
      <c r="G195" s="2">
        <v>1.6403402187120337</v>
      </c>
      <c r="H195" s="2">
        <v>2.7223230490018153</v>
      </c>
      <c r="I195" s="2">
        <v>2.2240527182866581</v>
      </c>
      <c r="J195" s="2">
        <v>1.4407527197882908</v>
      </c>
      <c r="K195" s="2">
        <v>2.4434941967012711</v>
      </c>
      <c r="L195" s="2">
        <v>1.0403397027600922</v>
      </c>
      <c r="M195" s="2">
        <v>0.82823900611317913</v>
      </c>
      <c r="N195" s="2">
        <v>1.6820857863750931</v>
      </c>
      <c r="O195" s="2">
        <v>4.9733570159857994</v>
      </c>
      <c r="P195" s="2">
        <v>1.7248632730332325</v>
      </c>
      <c r="Q195" s="2">
        <v>2.2578460149017836</v>
      </c>
      <c r="R195" s="2">
        <v>1.7849553761155923</v>
      </c>
      <c r="S195" s="2">
        <v>1.9125082435700003</v>
      </c>
      <c r="T195" s="2">
        <v>8.6569761918000088E-2</v>
      </c>
      <c r="U195" s="2">
        <v>1.6272510305923318</v>
      </c>
      <c r="V195" s="2">
        <v>1.8859837119588412</v>
      </c>
      <c r="W195" s="2">
        <v>2.1026592455163859</v>
      </c>
      <c r="X195" s="2">
        <v>0.70539419087136457</v>
      </c>
      <c r="Y195" s="2">
        <v>1.7017543859649005</v>
      </c>
      <c r="Z195" s="2">
        <v>1.5770144739684622</v>
      </c>
      <c r="AA195" s="2">
        <v>1.6054076890578719</v>
      </c>
      <c r="AB195" s="2"/>
    </row>
    <row r="196" spans="1:28" x14ac:dyDescent="0.35">
      <c r="A196" s="2">
        <v>0.72534372631806121</v>
      </c>
      <c r="B196" s="2">
        <v>0.2330144917139389</v>
      </c>
      <c r="C196" s="2">
        <v>0.29532030895046674</v>
      </c>
      <c r="D196" s="2">
        <v>0.71274656058346897</v>
      </c>
      <c r="E196" s="2">
        <v>6.0363352217229771</v>
      </c>
      <c r="F196" s="2">
        <v>8.539709649872633E-2</v>
      </c>
      <c r="G196" s="2">
        <v>-1.4345487148834295</v>
      </c>
      <c r="H196" s="2">
        <v>5.1899293286219086</v>
      </c>
      <c r="I196" s="2">
        <v>0.4029008863819501</v>
      </c>
      <c r="J196" s="2">
        <v>0.23188405797100131</v>
      </c>
      <c r="K196" s="2">
        <v>0.17889087656530195</v>
      </c>
      <c r="L196" s="2">
        <v>0.39924353855851591</v>
      </c>
      <c r="M196" s="2">
        <v>1.1930373557598324</v>
      </c>
      <c r="N196" s="2">
        <v>1.1786600496277893</v>
      </c>
      <c r="O196" s="2">
        <v>2.707275803722478</v>
      </c>
      <c r="P196" s="2">
        <v>0.24813895781637482</v>
      </c>
      <c r="Q196" s="2">
        <v>-0.15455950540958019</v>
      </c>
      <c r="R196" s="2">
        <v>0.22964509394571311</v>
      </c>
      <c r="S196" s="2">
        <v>4.314063848145934E-2</v>
      </c>
      <c r="T196" s="2">
        <v>-0.47572185926807714</v>
      </c>
      <c r="U196" s="2">
        <v>-0.51238257899232142</v>
      </c>
      <c r="V196" s="2">
        <v>0.16827934371056191</v>
      </c>
      <c r="W196" s="2">
        <v>0.30284675953967294</v>
      </c>
      <c r="X196" s="2">
        <v>0.24721878862793339</v>
      </c>
      <c r="Y196" s="2">
        <v>-0.72451267897187033</v>
      </c>
      <c r="Z196" s="2">
        <v>0.48915355168013852</v>
      </c>
      <c r="AA196" s="2">
        <v>0.58212058212058448</v>
      </c>
      <c r="AB196" s="2"/>
    </row>
    <row r="197" spans="1:28" x14ac:dyDescent="0.35">
      <c r="A197" s="2">
        <v>1.0963026655202113</v>
      </c>
      <c r="B197" s="2">
        <v>0.17216238977974846</v>
      </c>
      <c r="C197" s="2">
        <v>-0.20385050962625609</v>
      </c>
      <c r="D197" s="2">
        <v>2.402896642527983</v>
      </c>
      <c r="E197" s="2">
        <v>0.88430361090640286</v>
      </c>
      <c r="F197" s="2">
        <v>0.85324232081910056</v>
      </c>
      <c r="G197" s="2">
        <v>-0.44471396806146057</v>
      </c>
      <c r="H197" s="2">
        <v>5.6896913709846908</v>
      </c>
      <c r="I197" s="2">
        <v>-1.2239165329053014</v>
      </c>
      <c r="J197" s="2">
        <v>-0.49161364950836667</v>
      </c>
      <c r="K197" s="2">
        <v>-9.9206349206349201E-2</v>
      </c>
      <c r="L197" s="2">
        <v>0.56508999581414576</v>
      </c>
      <c r="M197" s="2">
        <v>-0.13529184383454423</v>
      </c>
      <c r="N197" s="2">
        <v>0.87880645820561398</v>
      </c>
      <c r="O197" s="2">
        <v>-0.89694307157239195</v>
      </c>
      <c r="P197" s="2">
        <v>0.39191419141913719</v>
      </c>
      <c r="Q197" s="2">
        <v>0.86245024325520436</v>
      </c>
      <c r="R197" s="2">
        <v>0.43740887315144339</v>
      </c>
      <c r="S197" s="2">
        <v>0.64683053040103489</v>
      </c>
      <c r="T197" s="2">
        <v>0.43454162702379617</v>
      </c>
      <c r="U197" s="2">
        <v>0.2575107296137315</v>
      </c>
      <c r="V197" s="2">
        <v>0.81898362032760064</v>
      </c>
      <c r="W197" s="2">
        <v>0.42270531400965494</v>
      </c>
      <c r="X197" s="2">
        <v>0.84258117550349843</v>
      </c>
      <c r="Y197" s="2">
        <v>0.15638575152041306</v>
      </c>
      <c r="Z197" s="2">
        <v>0.91005291005291244</v>
      </c>
      <c r="AA197" s="2">
        <v>0.76477883422901793</v>
      </c>
      <c r="AB197" s="2"/>
    </row>
    <row r="198" spans="1:28" x14ac:dyDescent="0.35">
      <c r="A198" s="2">
        <v>0.83988943227726742</v>
      </c>
      <c r="B198" s="2">
        <v>0.16717797237376453</v>
      </c>
      <c r="C198" s="2">
        <v>4.5392646391294929E-2</v>
      </c>
      <c r="D198" s="2">
        <v>-1.3661202185792349</v>
      </c>
      <c r="E198" s="2">
        <v>-4.4192841490138459</v>
      </c>
      <c r="F198" s="2">
        <v>0.486463620981402</v>
      </c>
      <c r="G198" s="2">
        <v>-3.7969543147208102</v>
      </c>
      <c r="H198" s="2">
        <v>-0.79459674215335718</v>
      </c>
      <c r="I198" s="2">
        <v>-0.18281535648994054</v>
      </c>
      <c r="J198" s="2">
        <v>3.2548677709967997</v>
      </c>
      <c r="K198" s="2">
        <v>0.25819265143992282</v>
      </c>
      <c r="L198" s="2">
        <v>0.95733610822059645</v>
      </c>
      <c r="M198" s="2">
        <v>0.81285078382038534</v>
      </c>
      <c r="N198" s="2">
        <v>-0.1012965964343598</v>
      </c>
      <c r="O198" s="2">
        <v>2.3088289619504989</v>
      </c>
      <c r="P198" s="2">
        <v>0.94514074378467694</v>
      </c>
      <c r="Q198" s="2">
        <v>1.1839508879631608</v>
      </c>
      <c r="R198" s="2">
        <v>0.95396101202819694</v>
      </c>
      <c r="S198" s="2">
        <v>1.028277634961442</v>
      </c>
      <c r="T198" s="2">
        <v>0.25959691953643033</v>
      </c>
      <c r="U198" s="2">
        <v>1.1130136986301344</v>
      </c>
      <c r="V198" s="2">
        <v>-4.1657987919192972E-2</v>
      </c>
      <c r="W198" s="2">
        <v>0.68149929845659996</v>
      </c>
      <c r="X198" s="2">
        <v>0.20379050336254331</v>
      </c>
      <c r="Y198" s="2">
        <v>0.41637751561415293</v>
      </c>
      <c r="Z198" s="2">
        <v>0.52432885906040272</v>
      </c>
      <c r="AA198" s="2">
        <v>0.32820512820512121</v>
      </c>
      <c r="AB198" s="2"/>
    </row>
    <row r="199" spans="1:28" x14ac:dyDescent="0.35">
      <c r="A199" s="2">
        <v>9.4886663152355402E-2</v>
      </c>
      <c r="B199" s="2">
        <v>-1.898182225991837E-2</v>
      </c>
      <c r="C199" s="2">
        <v>0.11343012704174227</v>
      </c>
      <c r="D199" s="2">
        <v>-3.2589212970514168E-2</v>
      </c>
      <c r="E199" s="2">
        <v>-0.85976308750477637</v>
      </c>
      <c r="F199" s="2">
        <v>8.419280151546564E-2</v>
      </c>
      <c r="G199" s="2">
        <v>-0.67539046010976056</v>
      </c>
      <c r="H199" s="2">
        <v>-0.44052863436124257</v>
      </c>
      <c r="I199" s="2">
        <v>0.22385022385022851</v>
      </c>
      <c r="J199" s="2">
        <v>1.1539544047283889</v>
      </c>
      <c r="K199" s="2">
        <v>5.9429477020593209E-2</v>
      </c>
      <c r="L199" s="2">
        <v>0.1443001443001537</v>
      </c>
      <c r="M199" s="2">
        <v>0.17277788443078851</v>
      </c>
      <c r="N199" s="2">
        <v>6.0839586290804E-2</v>
      </c>
      <c r="O199" s="2">
        <v>0.8304748149485508</v>
      </c>
      <c r="P199" s="2">
        <v>0.1628332994097316</v>
      </c>
      <c r="Q199" s="2">
        <v>0.21668472372697722</v>
      </c>
      <c r="R199" s="2">
        <v>0.20542317173377159</v>
      </c>
      <c r="S199" s="2">
        <v>0.10602205258693807</v>
      </c>
      <c r="T199" s="2">
        <v>0</v>
      </c>
      <c r="U199" s="2">
        <v>0.4022015241320987</v>
      </c>
      <c r="V199" s="2">
        <v>-2.0837674515528804E-2</v>
      </c>
      <c r="W199" s="2">
        <v>0.15926737009756486</v>
      </c>
      <c r="X199" s="2">
        <v>0.16270083384177575</v>
      </c>
      <c r="Y199" s="2">
        <v>5.1831375259168665E-2</v>
      </c>
      <c r="Z199" s="2">
        <v>0.10431879824744419</v>
      </c>
      <c r="AA199" s="2">
        <v>8.178286648947744E-2</v>
      </c>
      <c r="AB199" s="2"/>
    </row>
    <row r="200" spans="1:28" x14ac:dyDescent="0.35">
      <c r="A200" s="2">
        <v>1.042763850853156</v>
      </c>
      <c r="B200" s="2">
        <v>1.8894931344533347E-2</v>
      </c>
      <c r="C200" s="2">
        <v>0.52118740086108184</v>
      </c>
      <c r="D200" s="2">
        <v>0.32599837000814996</v>
      </c>
      <c r="E200" s="2">
        <v>-0.88649065330509458</v>
      </c>
      <c r="F200" s="2">
        <v>0.16824395373291512</v>
      </c>
      <c r="G200" s="2">
        <v>-0.63748406289842763</v>
      </c>
      <c r="H200" s="2">
        <v>14.66210780370073</v>
      </c>
      <c r="I200" s="2">
        <v>0.64974619289339874</v>
      </c>
      <c r="J200" s="2">
        <v>1.8363939899833119</v>
      </c>
      <c r="K200" s="2">
        <v>0.31676895664225357</v>
      </c>
      <c r="L200" s="2">
        <v>0.32935364347468565</v>
      </c>
      <c r="M200" s="2">
        <v>0.45994633959373155</v>
      </c>
      <c r="N200" s="2">
        <v>2.2902310498581295</v>
      </c>
      <c r="O200" s="2">
        <v>1.3428827215756489</v>
      </c>
      <c r="P200" s="2">
        <v>0.670595407437515</v>
      </c>
      <c r="Q200" s="2">
        <v>0.6486486486486609</v>
      </c>
      <c r="R200" s="2">
        <v>0.63550635506355535</v>
      </c>
      <c r="S200" s="2">
        <v>0.55073077737767906</v>
      </c>
      <c r="T200" s="2">
        <v>0.64731189709639625</v>
      </c>
      <c r="U200" s="2">
        <v>0.5481762597512051</v>
      </c>
      <c r="V200" s="2">
        <v>0.50020842017508016</v>
      </c>
      <c r="W200" s="2">
        <v>0.39753528125621146</v>
      </c>
      <c r="X200" s="2">
        <v>0.1421319796954407</v>
      </c>
      <c r="Y200" s="2">
        <v>0.31082714557070529</v>
      </c>
      <c r="Z200" s="2">
        <v>0.60441850771154171</v>
      </c>
      <c r="AA200" s="2">
        <v>1.4096016343207307</v>
      </c>
      <c r="AB200" s="2"/>
    </row>
    <row r="201" spans="1:28" x14ac:dyDescent="0.35">
      <c r="A201" s="2">
        <v>-0.37527363702698935</v>
      </c>
      <c r="B201" s="2">
        <v>4.5190691680761175E-2</v>
      </c>
      <c r="C201" s="2">
        <v>0.56357078449051923</v>
      </c>
      <c r="D201" s="2">
        <v>-1.4947197400487298</v>
      </c>
      <c r="E201" s="2">
        <v>1.0888586428154818</v>
      </c>
      <c r="F201" s="2">
        <v>0.35691790888095498</v>
      </c>
      <c r="G201" s="2">
        <v>0.51325919589393376</v>
      </c>
      <c r="H201" s="2">
        <v>7.3846693562532923</v>
      </c>
      <c r="I201" s="2">
        <v>2.0173492031475233E-2</v>
      </c>
      <c r="J201" s="2">
        <v>0.43715846994536145</v>
      </c>
      <c r="K201" s="2">
        <v>0.17761989342807066</v>
      </c>
      <c r="L201" s="2">
        <v>0.30775543701270891</v>
      </c>
      <c r="M201" s="2">
        <v>0.45784051888591704</v>
      </c>
      <c r="N201" s="2">
        <v>1.1888250445809392</v>
      </c>
      <c r="O201" s="2">
        <v>-0.30035335689044729</v>
      </c>
      <c r="P201" s="2">
        <v>0.90835688332660469</v>
      </c>
      <c r="Q201" s="2">
        <v>0.68743286788399316</v>
      </c>
      <c r="R201" s="2">
        <v>0.89631289468323028</v>
      </c>
      <c r="S201" s="2">
        <v>0.56878028228354505</v>
      </c>
      <c r="T201" s="2">
        <v>0.25725948756911193</v>
      </c>
      <c r="U201" s="2">
        <v>0.71293772279304557</v>
      </c>
      <c r="V201" s="2">
        <v>0.8710078805475</v>
      </c>
      <c r="W201" s="2">
        <v>0.47515343496336909</v>
      </c>
      <c r="X201" s="2">
        <v>0.2433090024330877</v>
      </c>
      <c r="Y201" s="2">
        <v>6.8858667584778321E-2</v>
      </c>
      <c r="Z201" s="2">
        <v>0.24860161591050106</v>
      </c>
      <c r="AA201" s="2">
        <v>0.70507655116841261</v>
      </c>
      <c r="AB201" s="2"/>
    </row>
    <row r="202" spans="1:28" x14ac:dyDescent="0.35">
      <c r="A202" s="2">
        <v>0.34529664120539438</v>
      </c>
      <c r="B202" s="2">
        <v>0.29416355588089471</v>
      </c>
      <c r="C202" s="2">
        <v>0.35866397668684663</v>
      </c>
      <c r="D202" s="2">
        <v>-1.3689592610918799</v>
      </c>
      <c r="E202" s="2">
        <v>2.7889978842085017</v>
      </c>
      <c r="F202" s="2">
        <v>0.35564853556486309</v>
      </c>
      <c r="G202" s="2">
        <v>-1.0212765957446712</v>
      </c>
      <c r="H202" s="2">
        <v>-5.2433845148644274</v>
      </c>
      <c r="I202" s="2">
        <v>-0.54457442517143784</v>
      </c>
      <c r="J202" s="2">
        <v>-1.1153427638737821</v>
      </c>
      <c r="K202" s="2">
        <v>0.55161544523245754</v>
      </c>
      <c r="L202" s="2">
        <v>0.30681120883616286</v>
      </c>
      <c r="M202" s="2">
        <v>0.6076718571971006</v>
      </c>
      <c r="N202" s="2">
        <v>-0.88114352849030741</v>
      </c>
      <c r="O202" s="2">
        <v>-1.3113592060960642</v>
      </c>
      <c r="P202" s="2">
        <v>0.74014802960591886</v>
      </c>
      <c r="Q202" s="2">
        <v>0.85342436526561605</v>
      </c>
      <c r="R202" s="2">
        <v>0.7268322228952081</v>
      </c>
      <c r="S202" s="2">
        <v>0.56556346878926089</v>
      </c>
      <c r="T202" s="2">
        <v>-0.34213248182260086</v>
      </c>
      <c r="U202" s="2">
        <v>0.49968769519051304</v>
      </c>
      <c r="V202" s="2">
        <v>0.28782894736842807</v>
      </c>
      <c r="W202" s="2">
        <v>0.43349753694582177</v>
      </c>
      <c r="X202" s="2">
        <v>6.0679611650464732E-2</v>
      </c>
      <c r="Y202" s="2">
        <v>-0.22363667641492427</v>
      </c>
      <c r="Z202" s="2">
        <v>0.39264310808018887</v>
      </c>
      <c r="AA202" s="2">
        <v>-0.30006001200240051</v>
      </c>
      <c r="AB202" s="2"/>
    </row>
    <row r="203" spans="1:28" x14ac:dyDescent="0.35">
      <c r="A203" s="2">
        <v>0.27111574556829082</v>
      </c>
      <c r="B203" s="2">
        <v>2.4933796524848392E-2</v>
      </c>
      <c r="C203" s="2">
        <v>0.51373687737324358</v>
      </c>
      <c r="D203" s="2">
        <v>-5.0167224080259955E-2</v>
      </c>
      <c r="E203" s="2">
        <v>0.4678143712575063</v>
      </c>
      <c r="F203" s="2">
        <v>0.35438815926619377</v>
      </c>
      <c r="G203" s="2">
        <v>-0.81685296646605066</v>
      </c>
      <c r="H203" s="2">
        <v>-7.4125150836062943</v>
      </c>
      <c r="I203" s="2">
        <v>-0.28391806935712377</v>
      </c>
      <c r="J203" s="2">
        <v>-0.79779917469050277</v>
      </c>
      <c r="K203" s="2">
        <v>0.94043887147336769</v>
      </c>
      <c r="L203" s="2">
        <v>6.1174551386625489E-2</v>
      </c>
      <c r="M203" s="2">
        <v>0.43412608531522617</v>
      </c>
      <c r="N203" s="2">
        <v>-1.0667720268668577</v>
      </c>
      <c r="O203" s="2">
        <v>-1.544262883821157</v>
      </c>
      <c r="P203" s="2">
        <v>0.83399523431293321</v>
      </c>
      <c r="Q203" s="2">
        <v>1.2269938650306773</v>
      </c>
      <c r="R203" s="2">
        <v>0.9019843656043296</v>
      </c>
      <c r="S203" s="2">
        <v>0.56238283690899871</v>
      </c>
      <c r="T203" s="2">
        <v>0.47204718927009526</v>
      </c>
      <c r="U203" s="2">
        <v>0.37290242386574568</v>
      </c>
      <c r="V203" s="2">
        <v>0.24600246002458626</v>
      </c>
      <c r="W203" s="2">
        <v>0.49048459878357581</v>
      </c>
      <c r="X203" s="2">
        <v>0.18192844147969159</v>
      </c>
      <c r="Y203" s="2">
        <v>-0.12068965517242163</v>
      </c>
      <c r="Z203" s="2">
        <v>0.43227665706051177</v>
      </c>
      <c r="AA203" s="2">
        <v>-0.26083467094703283</v>
      </c>
      <c r="AB203" s="2"/>
    </row>
    <row r="204" spans="1:28" x14ac:dyDescent="0.35">
      <c r="A204" s="2">
        <v>0.59276206322795821</v>
      </c>
      <c r="B204" s="2">
        <v>-0.39299228106762307</v>
      </c>
      <c r="C204" s="2">
        <v>0.28888888888889142</v>
      </c>
      <c r="D204" s="2">
        <v>1.0373096871340022</v>
      </c>
      <c r="E204" s="2">
        <v>-1.7135406965915523</v>
      </c>
      <c r="F204" s="2">
        <v>0.12463647694224468</v>
      </c>
      <c r="G204" s="2">
        <v>2.1673168617256773E-2</v>
      </c>
      <c r="H204" s="2">
        <v>-2.643827964997195</v>
      </c>
      <c r="I204" s="2">
        <v>-0.18303843807200204</v>
      </c>
      <c r="J204" s="2">
        <v>-0.83194675540765384</v>
      </c>
      <c r="K204" s="2">
        <v>1.3004658385093255</v>
      </c>
      <c r="L204" s="2">
        <v>0.24454860403504966</v>
      </c>
      <c r="M204" s="2">
        <v>0.41345611727117676</v>
      </c>
      <c r="N204" s="2">
        <v>-9.9840255591042967E-2</v>
      </c>
      <c r="O204" s="2">
        <v>0.12766733540033659</v>
      </c>
      <c r="P204" s="2">
        <v>0.55139818826309794</v>
      </c>
      <c r="Q204" s="2">
        <v>1.1076280041797189</v>
      </c>
      <c r="R204" s="2">
        <v>0.65554231227653326</v>
      </c>
      <c r="S204" s="2">
        <v>0.43496271748135162</v>
      </c>
      <c r="T204" s="2">
        <v>0.42711761174624691</v>
      </c>
      <c r="U204" s="2">
        <v>0.53663570691434936</v>
      </c>
      <c r="V204" s="2">
        <v>0.83844580777096578</v>
      </c>
      <c r="W204" s="2">
        <v>0.48809058961345453</v>
      </c>
      <c r="X204" s="2">
        <v>0.42372881355933806</v>
      </c>
      <c r="Y204" s="2">
        <v>0.25893319523562924</v>
      </c>
      <c r="Z204" s="2">
        <v>0.47140807542530611</v>
      </c>
      <c r="AA204" s="2">
        <v>0.24140012070005809</v>
      </c>
      <c r="AB204" s="2"/>
    </row>
    <row r="205" spans="1:28" x14ac:dyDescent="0.35">
      <c r="A205" s="2">
        <v>0.76501602398429558</v>
      </c>
      <c r="B205" s="2">
        <v>-6.2040081103534692E-2</v>
      </c>
      <c r="C205" s="2">
        <v>0.86417017504985083</v>
      </c>
      <c r="D205" s="2">
        <v>5.06706408345753</v>
      </c>
      <c r="E205" s="2">
        <v>-4.6048891415577042</v>
      </c>
      <c r="F205" s="2">
        <v>0.99585062240665334</v>
      </c>
      <c r="G205" s="2">
        <v>2.513542795232941</v>
      </c>
      <c r="H205" s="2">
        <v>-2.2566456301395972</v>
      </c>
      <c r="I205" s="2">
        <v>0.14262428687856329</v>
      </c>
      <c r="J205" s="2">
        <v>-0.11185682326622878</v>
      </c>
      <c r="K205" s="2">
        <v>1.7053075301781688</v>
      </c>
      <c r="L205" s="2">
        <v>0.34559869892254291</v>
      </c>
      <c r="M205" s="2">
        <v>0.72992700729928717</v>
      </c>
      <c r="N205" s="2">
        <v>1.2392564461323183</v>
      </c>
      <c r="O205" s="2">
        <v>5.2276867030965475</v>
      </c>
      <c r="P205" s="2">
        <v>0.78339208773992497</v>
      </c>
      <c r="Q205" s="2">
        <v>1.3642000826787979</v>
      </c>
      <c r="R205" s="2">
        <v>0.86836392342608593</v>
      </c>
      <c r="S205" s="2">
        <v>0.61868426479686534</v>
      </c>
      <c r="T205" s="2">
        <v>-8.506021518956848E-2</v>
      </c>
      <c r="U205" s="2">
        <v>0.73906795319235596</v>
      </c>
      <c r="V205" s="2">
        <v>1.6832285540458347</v>
      </c>
      <c r="W205" s="2">
        <v>0.4857198367981348</v>
      </c>
      <c r="X205" s="2">
        <v>0.32147880249144245</v>
      </c>
      <c r="Y205" s="2">
        <v>0.46487603305785913</v>
      </c>
      <c r="Z205" s="2">
        <v>0.67319461444307516</v>
      </c>
      <c r="AA205" s="2">
        <v>0.92313867148304707</v>
      </c>
      <c r="AB205" s="2"/>
    </row>
    <row r="206" spans="1:28" x14ac:dyDescent="0.35">
      <c r="A206" s="2">
        <v>3.0163127116035677</v>
      </c>
      <c r="B206" s="2">
        <v>-0.37809618424648361</v>
      </c>
      <c r="C206" s="2">
        <v>1.0764499121265452</v>
      </c>
      <c r="D206" s="2">
        <v>0.44129235618596602</v>
      </c>
      <c r="E206" s="2">
        <v>-1.9467620182757273</v>
      </c>
      <c r="F206" s="2">
        <v>1.0476581758422281</v>
      </c>
      <c r="G206" s="2">
        <v>9.5328683153667342</v>
      </c>
      <c r="H206" s="2">
        <v>-0.11739385638819791</v>
      </c>
      <c r="I206" s="2">
        <v>0.46795523906409181</v>
      </c>
      <c r="J206" s="2">
        <v>0.13997760358342665</v>
      </c>
      <c r="K206" s="2">
        <v>2.147701582516973</v>
      </c>
      <c r="L206" s="2">
        <v>0.50648298217179899</v>
      </c>
      <c r="M206" s="2">
        <v>0.91044221479003662</v>
      </c>
      <c r="N206" s="2">
        <v>1.4610069101678365</v>
      </c>
      <c r="O206" s="2">
        <v>2.6311234204604346</v>
      </c>
      <c r="P206" s="2">
        <v>1.0104935872522214</v>
      </c>
      <c r="Q206" s="2">
        <v>1.1623164763458493</v>
      </c>
      <c r="R206" s="2">
        <v>0.99784777929955437</v>
      </c>
      <c r="S206" s="2">
        <v>0.73785611805697182</v>
      </c>
      <c r="T206" s="2">
        <v>0.72362734809091567</v>
      </c>
      <c r="U206" s="2">
        <v>0.63175056042387734</v>
      </c>
      <c r="V206" s="2">
        <v>0.95731950538491317</v>
      </c>
      <c r="W206" s="2">
        <v>0.54137664346480163</v>
      </c>
      <c r="X206" s="2">
        <v>0.5007009813739236</v>
      </c>
      <c r="Y206" s="2">
        <v>5.1413881748064189E-2</v>
      </c>
      <c r="Z206" s="2">
        <v>1.3373860182370751</v>
      </c>
      <c r="AA206" s="2">
        <v>1.4316961622589075</v>
      </c>
      <c r="AB206" s="2"/>
    </row>
    <row r="207" spans="1:28" x14ac:dyDescent="0.35">
      <c r="A207" s="2">
        <v>0.87640673239716715</v>
      </c>
      <c r="B207" s="2">
        <v>-1.6048894148533013E-2</v>
      </c>
      <c r="C207" s="2">
        <v>0.78243860030428658</v>
      </c>
      <c r="D207" s="2">
        <v>2.4478267691824924</v>
      </c>
      <c r="E207" s="2">
        <v>-1.154781199351711</v>
      </c>
      <c r="F207" s="2">
        <v>0.60988005692213865</v>
      </c>
      <c r="G207" s="2">
        <v>-0.90698571979931397</v>
      </c>
      <c r="H207" s="2">
        <v>5.4848188050930577</v>
      </c>
      <c r="I207" s="2">
        <v>0</v>
      </c>
      <c r="J207" s="2">
        <v>0.58708414872799075</v>
      </c>
      <c r="K207" s="2">
        <v>1.9734415344891054</v>
      </c>
      <c r="L207" s="2">
        <v>0.54424511187260405</v>
      </c>
      <c r="M207" s="2">
        <v>0.86540232001471773</v>
      </c>
      <c r="N207" s="2">
        <v>1.4983459817084901</v>
      </c>
      <c r="O207" s="2">
        <v>1.5010963062911078</v>
      </c>
      <c r="P207" s="2">
        <v>0.98114659484417521</v>
      </c>
      <c r="Q207" s="2">
        <v>1.0884902237452081</v>
      </c>
      <c r="R207" s="2">
        <v>1.0073614877954149</v>
      </c>
      <c r="S207" s="2">
        <v>0.75279755849440255</v>
      </c>
      <c r="T207" s="2">
        <v>0.21130253007310434</v>
      </c>
      <c r="U207" s="2">
        <v>0.42527339003645664</v>
      </c>
      <c r="V207" s="2">
        <v>-0.21730541288027772</v>
      </c>
      <c r="W207" s="2">
        <v>0.49999999999998251</v>
      </c>
      <c r="X207" s="2">
        <v>0.61777600637704722</v>
      </c>
      <c r="Y207" s="2">
        <v>0.11990407673861692</v>
      </c>
      <c r="Z207" s="2">
        <v>0.41991601679665663</v>
      </c>
      <c r="AA207" s="2">
        <v>0.96059596157615712</v>
      </c>
      <c r="AB207" s="2"/>
    </row>
    <row r="208" spans="1:28" x14ac:dyDescent="0.35">
      <c r="A208" s="2">
        <v>-0.14808964359759108</v>
      </c>
      <c r="B208" s="2">
        <v>-0.13515170447900246</v>
      </c>
      <c r="C208" s="2">
        <v>0.56070735389259552</v>
      </c>
      <c r="D208" s="2">
        <v>1.0874559656915337</v>
      </c>
      <c r="E208" s="2">
        <v>5.1854888296782269</v>
      </c>
      <c r="F208" s="2">
        <v>0.54556476055769765</v>
      </c>
      <c r="G208" s="2">
        <v>-0.75949367088608255</v>
      </c>
      <c r="H208" s="2">
        <v>4.196843082636958</v>
      </c>
      <c r="I208" s="2">
        <v>-0.26326447954637733</v>
      </c>
      <c r="J208" s="2">
        <v>0.16675931072817285</v>
      </c>
      <c r="K208" s="2">
        <v>1.1937059142702158</v>
      </c>
      <c r="L208" s="2">
        <v>0.48115477145147906</v>
      </c>
      <c r="M208" s="2">
        <v>0.78495801387368902</v>
      </c>
      <c r="N208" s="2">
        <v>0.95858895705521474</v>
      </c>
      <c r="O208" s="2">
        <v>-0.69790628115651909</v>
      </c>
      <c r="P208" s="2">
        <v>0.85730615355305784</v>
      </c>
      <c r="Q208" s="2">
        <v>0.89730807577268201</v>
      </c>
      <c r="R208" s="2">
        <v>0.84388185654007997</v>
      </c>
      <c r="S208" s="2">
        <v>0.72697899838448432</v>
      </c>
      <c r="T208" s="2">
        <v>-0.29519977750369381</v>
      </c>
      <c r="U208" s="2">
        <v>0.40330711837065075</v>
      </c>
      <c r="V208" s="2">
        <v>0.59394179370421696</v>
      </c>
      <c r="W208" s="2">
        <v>0.36356678147724669</v>
      </c>
      <c r="X208" s="2">
        <v>0.6337888690829957</v>
      </c>
      <c r="Y208" s="2">
        <v>0.17108639863130881</v>
      </c>
      <c r="Z208" s="2">
        <v>1.991238550377656E-2</v>
      </c>
      <c r="AA208" s="2">
        <v>0.50485436893204327</v>
      </c>
      <c r="AB208" s="2"/>
    </row>
    <row r="209" spans="1:28" x14ac:dyDescent="0.35">
      <c r="A209" s="2">
        <v>1.2457979038955926</v>
      </c>
      <c r="B209" s="2">
        <v>0.15318662439129069</v>
      </c>
      <c r="C209" s="2">
        <v>1.0079348059189337</v>
      </c>
      <c r="D209" s="2">
        <v>-2.8939393939393971</v>
      </c>
      <c r="E209" s="2">
        <v>2.5136399064691859</v>
      </c>
      <c r="F209" s="2">
        <v>0.48231511254018838</v>
      </c>
      <c r="G209" s="2">
        <v>2.6883830455259004</v>
      </c>
      <c r="H209" s="2">
        <v>-0.33862056674389185</v>
      </c>
      <c r="I209" s="2">
        <v>4.060913705583525E-2</v>
      </c>
      <c r="J209" s="2">
        <v>8.3240843507217374E-2</v>
      </c>
      <c r="K209" s="2">
        <v>1.5370866845397717</v>
      </c>
      <c r="L209" s="2">
        <v>0.2992817238627522</v>
      </c>
      <c r="M209" s="2">
        <v>0.70639376924469788</v>
      </c>
      <c r="N209" s="2">
        <v>5.6969236612220753E-2</v>
      </c>
      <c r="O209" s="2">
        <v>-2.4765729585006806</v>
      </c>
      <c r="P209" s="2">
        <v>0.68001511144692539</v>
      </c>
      <c r="Q209" s="2">
        <v>0.84980237154150418</v>
      </c>
      <c r="R209" s="2">
        <v>0.72270825408899864</v>
      </c>
      <c r="S209" s="2">
        <v>0.60144346431435458</v>
      </c>
      <c r="T209" s="2">
        <v>0.42296255237598152</v>
      </c>
      <c r="U209" s="2">
        <v>0.3213496686081474</v>
      </c>
      <c r="V209" s="2">
        <v>0.21649281637472267</v>
      </c>
      <c r="W209" s="2">
        <v>0.4003813155386125</v>
      </c>
      <c r="X209" s="2">
        <v>1.3973627238732353</v>
      </c>
      <c r="Y209" s="2">
        <v>0.1537147736976904</v>
      </c>
      <c r="Z209" s="2">
        <v>0.51761895281703485</v>
      </c>
      <c r="AA209" s="2">
        <v>0.46367851622874362</v>
      </c>
      <c r="AB209" s="2"/>
    </row>
    <row r="210" spans="1:28" x14ac:dyDescent="0.35">
      <c r="A210" s="2">
        <v>-0.1464843750000111</v>
      </c>
      <c r="B210" s="2">
        <v>0.28409116087052072</v>
      </c>
      <c r="C210" s="2">
        <v>2.3142250530785633</v>
      </c>
      <c r="D210" s="2">
        <v>-3.0269932906849708</v>
      </c>
      <c r="E210" s="2">
        <v>-3.4214027751377962</v>
      </c>
      <c r="F210" s="2">
        <v>0.87999999999999534</v>
      </c>
      <c r="G210" s="2">
        <v>-0.78348939422893615</v>
      </c>
      <c r="H210" s="2">
        <v>2.4499284692417618</v>
      </c>
      <c r="I210" s="2">
        <v>1.8063730464785828</v>
      </c>
      <c r="J210" s="2">
        <v>0.7208206265594741</v>
      </c>
      <c r="K210" s="2">
        <v>1.9010737546206573</v>
      </c>
      <c r="L210" s="2">
        <v>0.27849612094688225</v>
      </c>
      <c r="M210" s="2">
        <v>0.57553956834533193</v>
      </c>
      <c r="N210" s="2">
        <v>0.70222053520593009</v>
      </c>
      <c r="O210" s="2">
        <v>-1.681537405627995</v>
      </c>
      <c r="P210" s="2">
        <v>0.63789868667917027</v>
      </c>
      <c r="Q210" s="2">
        <v>0.80344895159709295</v>
      </c>
      <c r="R210" s="2">
        <v>0.66087613293053515</v>
      </c>
      <c r="S210" s="2">
        <v>0.63770426464727892</v>
      </c>
      <c r="T210" s="2">
        <v>0.50541733678335143</v>
      </c>
      <c r="U210" s="2">
        <v>0.36036036036035124</v>
      </c>
      <c r="V210" s="2">
        <v>0.88373919874313767</v>
      </c>
      <c r="W210" s="2">
        <v>0.41777440182300257</v>
      </c>
      <c r="X210" s="2">
        <v>0.52406832298139749</v>
      </c>
      <c r="Y210" s="2">
        <v>0.17053206002728513</v>
      </c>
      <c r="Z210" s="2">
        <v>0.43572984749456245</v>
      </c>
      <c r="AA210" s="2">
        <v>0.51923076923077793</v>
      </c>
      <c r="AB210" s="2"/>
    </row>
    <row r="211" spans="1:28" x14ac:dyDescent="0.35">
      <c r="A211" s="2">
        <v>0.32273838630807516</v>
      </c>
      <c r="B211" s="2">
        <v>0.33596184908057186</v>
      </c>
      <c r="C211" s="2">
        <v>1.9506121601992066</v>
      </c>
      <c r="D211" s="2">
        <v>1.3032984714400497</v>
      </c>
      <c r="E211" s="2">
        <v>0.29521747687463096</v>
      </c>
      <c r="F211" s="2">
        <v>0.97145122918319471</v>
      </c>
      <c r="G211" s="2">
        <v>-4.2180277349768733</v>
      </c>
      <c r="H211" s="2">
        <v>2.8975388374934585</v>
      </c>
      <c r="I211" s="2">
        <v>1.1363636363636342</v>
      </c>
      <c r="J211" s="2">
        <v>0.60556014313239437</v>
      </c>
      <c r="K211" s="2">
        <v>1.9174296078770123</v>
      </c>
      <c r="L211" s="2">
        <v>0.3570720095219112</v>
      </c>
      <c r="M211" s="2">
        <v>0.60801144492131209</v>
      </c>
      <c r="N211" s="2">
        <v>0.8480964945344891</v>
      </c>
      <c r="O211" s="2">
        <v>-1.9022687609075204</v>
      </c>
      <c r="P211" s="2">
        <v>0.78299776286354317</v>
      </c>
      <c r="Q211" s="2">
        <v>0.95256609642301282</v>
      </c>
      <c r="R211" s="2">
        <v>0.80660288876382558</v>
      </c>
      <c r="S211" s="2">
        <v>0.6138613861386184</v>
      </c>
      <c r="T211" s="2">
        <v>0.20953154822232387</v>
      </c>
      <c r="U211" s="2">
        <v>0.41891083183722777</v>
      </c>
      <c r="V211" s="2">
        <v>-0.17519953280126357</v>
      </c>
      <c r="W211" s="2">
        <v>0.56732223903177015</v>
      </c>
      <c r="X211" s="2">
        <v>0.44410117783354974</v>
      </c>
      <c r="Y211" s="2">
        <v>0.45965270684372578</v>
      </c>
      <c r="Z211" s="2">
        <v>0.35495957404850215</v>
      </c>
      <c r="AA211" s="2">
        <v>0.59307442127413601</v>
      </c>
      <c r="AB211" s="2"/>
    </row>
    <row r="212" spans="1:28" x14ac:dyDescent="0.35">
      <c r="A212" s="2">
        <v>0.44843049327355594</v>
      </c>
      <c r="B212" s="2">
        <v>-9.679243637212083E-2</v>
      </c>
      <c r="C212" s="2">
        <v>1.0177081213108081</v>
      </c>
      <c r="D212" s="2">
        <v>0.79415501905973851</v>
      </c>
      <c r="E212" s="2">
        <v>0.68681318681319803</v>
      </c>
      <c r="F212" s="2">
        <v>0.68721774985272788</v>
      </c>
      <c r="G212" s="2">
        <v>-1.1260808365171973</v>
      </c>
      <c r="H212" s="2">
        <v>4.0033927056827663</v>
      </c>
      <c r="I212" s="2">
        <v>0.4139562389119022</v>
      </c>
      <c r="J212" s="2">
        <v>0.24623803009575304</v>
      </c>
      <c r="K212" s="2">
        <v>1.3389830508474536</v>
      </c>
      <c r="L212" s="2">
        <v>0.27673453251630309</v>
      </c>
      <c r="M212" s="2">
        <v>0.49768929968006898</v>
      </c>
      <c r="N212" s="2">
        <v>0.9717809755186031</v>
      </c>
      <c r="O212" s="2">
        <v>-1.1207970112079624</v>
      </c>
      <c r="P212" s="2">
        <v>0.53644099149093183</v>
      </c>
      <c r="Q212" s="2">
        <v>0.57770075101097629</v>
      </c>
      <c r="R212" s="2">
        <v>0.57685150725716838</v>
      </c>
      <c r="S212" s="2">
        <v>0.53139145837432233</v>
      </c>
      <c r="T212" s="2">
        <v>0.71091766716131921</v>
      </c>
      <c r="U212" s="2">
        <v>0.33770361541517457</v>
      </c>
      <c r="V212" s="2">
        <v>0.70202808112324944</v>
      </c>
      <c r="W212" s="2">
        <v>0.52651372696501597</v>
      </c>
      <c r="X212" s="2">
        <v>0.17301038062283297</v>
      </c>
      <c r="Y212" s="2">
        <v>0.20335536349770067</v>
      </c>
      <c r="Z212" s="2">
        <v>0.45195519748478452</v>
      </c>
      <c r="AA212" s="2">
        <v>0.77976416888553379</v>
      </c>
      <c r="AB212" s="2"/>
    </row>
    <row r="213" spans="1:28" x14ac:dyDescent="0.35">
      <c r="A213" s="2">
        <v>0.24262422360248445</v>
      </c>
      <c r="B213" s="2">
        <v>2.2330513426981721E-2</v>
      </c>
      <c r="C213" s="2">
        <v>1.2895426153536236</v>
      </c>
      <c r="D213" s="2">
        <v>-0.72486605735896981</v>
      </c>
      <c r="E213" s="2">
        <v>6.1781329175599167</v>
      </c>
      <c r="F213" s="2">
        <v>0.79953198127927783</v>
      </c>
      <c r="G213" s="2">
        <v>-1.8913971934106186</v>
      </c>
      <c r="H213" s="2">
        <v>-8.628282498776688</v>
      </c>
      <c r="I213" s="2">
        <v>0.45151158225362276</v>
      </c>
      <c r="J213" s="2">
        <v>0.16375545851529005</v>
      </c>
      <c r="K213" s="2">
        <v>1.4216424151196043</v>
      </c>
      <c r="L213" s="2">
        <v>0.31539522964715611</v>
      </c>
      <c r="M213" s="2">
        <v>0.60134418111069377</v>
      </c>
      <c r="N213" s="2">
        <v>-0.75883768276883623</v>
      </c>
      <c r="O213" s="2">
        <v>1.2774379273119869</v>
      </c>
      <c r="P213" s="2">
        <v>0.64397424103035883</v>
      </c>
      <c r="Q213" s="2">
        <v>0.49779820026804961</v>
      </c>
      <c r="R213" s="2">
        <v>0.59204440333025821</v>
      </c>
      <c r="S213" s="2">
        <v>0.5873140172278779</v>
      </c>
      <c r="T213" s="2">
        <v>0.2491409309275549</v>
      </c>
      <c r="U213" s="2">
        <v>0.17818253811127185</v>
      </c>
      <c r="V213" s="2">
        <v>0.85205267234703552</v>
      </c>
      <c r="W213" s="2">
        <v>0.61728395061731811</v>
      </c>
      <c r="X213" s="2">
        <v>0.19190174630586956</v>
      </c>
      <c r="Y213" s="2">
        <v>0.28750211398613995</v>
      </c>
      <c r="Z213" s="2">
        <v>0.37167449139279679</v>
      </c>
      <c r="AA213" s="2">
        <v>-0.28307227778828337</v>
      </c>
      <c r="AB213" s="2"/>
    </row>
    <row r="214" spans="1:28" x14ac:dyDescent="0.35">
      <c r="A214" s="2">
        <v>0.30012585923128171</v>
      </c>
      <c r="B214" s="2">
        <v>0.10525626368401629</v>
      </c>
      <c r="C214" s="2">
        <v>1.0940919037199011</v>
      </c>
      <c r="D214" s="2">
        <v>-0.19047619047619771</v>
      </c>
      <c r="E214" s="2">
        <v>4.8458149779735855</v>
      </c>
      <c r="F214" s="2">
        <v>0.7738440704197882</v>
      </c>
      <c r="G214" s="2">
        <v>-1.6998341625207276</v>
      </c>
      <c r="H214" s="2">
        <v>-12.745448054266348</v>
      </c>
      <c r="I214" s="2">
        <v>0.17588430721126327</v>
      </c>
      <c r="J214" s="2">
        <v>-0.24523160762942162</v>
      </c>
      <c r="K214" s="2">
        <v>1.1213720316622615</v>
      </c>
      <c r="L214" s="2">
        <v>0.33405384161918755</v>
      </c>
      <c r="M214" s="2">
        <v>0.43952180028129401</v>
      </c>
      <c r="N214" s="2">
        <v>-1.3614323013800946</v>
      </c>
      <c r="O214" s="2">
        <v>-0.24871202700301603</v>
      </c>
      <c r="P214" s="2">
        <v>0.51188299817183813</v>
      </c>
      <c r="Q214" s="2">
        <v>0.47628119641836542</v>
      </c>
      <c r="R214" s="2">
        <v>0.51498988412726765</v>
      </c>
      <c r="S214" s="2">
        <v>0.38925652004673295</v>
      </c>
      <c r="T214" s="2">
        <v>-0.45562322941189709</v>
      </c>
      <c r="U214" s="2">
        <v>0.23715415019761499</v>
      </c>
      <c r="V214" s="2">
        <v>1.2864823348694183</v>
      </c>
      <c r="W214" s="2">
        <v>0.72504182933628236</v>
      </c>
      <c r="X214" s="2">
        <v>0.21068760773800738</v>
      </c>
      <c r="Y214" s="2">
        <v>0.21922428330521998</v>
      </c>
      <c r="Z214" s="2">
        <v>0.50672383550965161</v>
      </c>
      <c r="AA214" s="2">
        <v>-0.28387585162755491</v>
      </c>
      <c r="AB214" s="2"/>
    </row>
    <row r="215" spans="1:28" x14ac:dyDescent="0.35">
      <c r="A215" s="2">
        <v>5.791505791504914E-2</v>
      </c>
      <c r="B215" s="2">
        <v>5.7340263849153167E-2</v>
      </c>
      <c r="C215" s="2">
        <v>2.5383707201889085</v>
      </c>
      <c r="D215" s="2">
        <v>0.85877862595421295</v>
      </c>
      <c r="E215" s="2">
        <v>2.310924369747887</v>
      </c>
      <c r="F215" s="2">
        <v>0.61432136686505001</v>
      </c>
      <c r="G215" s="2">
        <v>0.18979333614509367</v>
      </c>
      <c r="H215" s="2">
        <v>-3.4165302782323921</v>
      </c>
      <c r="I215" s="2">
        <v>3.9016777214188801E-2</v>
      </c>
      <c r="J215" s="2">
        <v>-0.54629882545752528</v>
      </c>
      <c r="K215" s="2">
        <v>1.6307893020221786</v>
      </c>
      <c r="L215" s="2">
        <v>0.27418723070896539</v>
      </c>
      <c r="M215" s="2">
        <v>0.47260633642570377</v>
      </c>
      <c r="N215" s="2">
        <v>0.43486481376442965</v>
      </c>
      <c r="O215" s="2">
        <v>-0.6589492430988505</v>
      </c>
      <c r="P215" s="2">
        <v>0.50927610040015803</v>
      </c>
      <c r="Q215" s="2">
        <v>0.34129692832765796</v>
      </c>
      <c r="R215" s="2">
        <v>0.45745654162854532</v>
      </c>
      <c r="S215" s="2">
        <v>0.44590926715780421</v>
      </c>
      <c r="T215" s="2">
        <v>0.58253828992972534</v>
      </c>
      <c r="U215" s="2">
        <v>0.37460567823345647</v>
      </c>
      <c r="V215" s="2">
        <v>1.5734597156398233</v>
      </c>
      <c r="W215" s="2">
        <v>0.68290882244371465</v>
      </c>
      <c r="X215" s="2">
        <v>0.13379204892967231</v>
      </c>
      <c r="Y215" s="2">
        <v>0.40383644623928844</v>
      </c>
      <c r="Z215" s="2">
        <v>0.48477797168896641</v>
      </c>
      <c r="AA215" s="2">
        <v>0.43651546783072087</v>
      </c>
      <c r="AB215" s="2"/>
    </row>
    <row r="216" spans="1:28" x14ac:dyDescent="0.35">
      <c r="A216" s="2">
        <v>0.27976075631874314</v>
      </c>
      <c r="B216" s="2">
        <v>0.85585980697384978</v>
      </c>
      <c r="C216" s="2">
        <v>0.42218384187294794</v>
      </c>
      <c r="D216" s="2">
        <v>-1.4348785871964893</v>
      </c>
      <c r="E216" s="2">
        <v>-9.9418206707734473</v>
      </c>
      <c r="F216" s="2">
        <v>1.5455065827132271</v>
      </c>
      <c r="G216" s="2">
        <v>7.0932435276783679</v>
      </c>
      <c r="H216" s="2">
        <v>-0.57191273035373624</v>
      </c>
      <c r="I216" s="2">
        <v>0.15600624024962331</v>
      </c>
      <c r="J216" s="2">
        <v>-0.85141444658061594</v>
      </c>
      <c r="K216" s="2">
        <v>0.54557124518611411</v>
      </c>
      <c r="L216" s="2">
        <v>0.54687499999999112</v>
      </c>
      <c r="M216" s="2">
        <v>0.95818815331010443</v>
      </c>
      <c r="N216" s="2">
        <v>0.24472891566264202</v>
      </c>
      <c r="O216" s="2">
        <v>-4.1054141269271902</v>
      </c>
      <c r="P216" s="2">
        <v>0.7057546145493987</v>
      </c>
      <c r="Q216" s="2">
        <v>0.66137566137566139</v>
      </c>
      <c r="R216" s="2">
        <v>0.71038251366119809</v>
      </c>
      <c r="S216" s="2">
        <v>0.75275043427909227</v>
      </c>
      <c r="T216" s="2">
        <v>0.57916443533224793</v>
      </c>
      <c r="U216" s="2">
        <v>0.47142015321155645</v>
      </c>
      <c r="V216" s="2">
        <v>1.3624486748786775</v>
      </c>
      <c r="W216" s="2">
        <v>1.1549037580201567</v>
      </c>
      <c r="X216" s="2">
        <v>0.40083985493413032</v>
      </c>
      <c r="Y216" s="2">
        <v>0.63683593095357027</v>
      </c>
      <c r="Z216" s="2">
        <v>0.73330760324198263</v>
      </c>
      <c r="AA216" s="2">
        <v>0.43461829176114025</v>
      </c>
      <c r="AB216" s="2"/>
    </row>
    <row r="217" spans="1:28" x14ac:dyDescent="0.35">
      <c r="A217" s="2">
        <v>-5.772005772004897E-2</v>
      </c>
      <c r="B217" s="2">
        <v>-6.0857463999931402E-2</v>
      </c>
      <c r="C217" s="2">
        <v>1.9109497420222197E-2</v>
      </c>
      <c r="D217" s="2">
        <v>0</v>
      </c>
      <c r="E217" s="2">
        <v>0</v>
      </c>
      <c r="F217" s="2">
        <v>0</v>
      </c>
      <c r="G217" s="2">
        <v>0</v>
      </c>
      <c r="H217" s="2">
        <v>4.2607584149976271E-2</v>
      </c>
      <c r="I217" s="2">
        <v>3.8940809968834068E-2</v>
      </c>
      <c r="J217" s="2">
        <v>0</v>
      </c>
      <c r="K217" s="2">
        <v>0</v>
      </c>
      <c r="L217" s="2">
        <v>0</v>
      </c>
      <c r="M217" s="2">
        <v>0</v>
      </c>
      <c r="N217" s="2">
        <v>1.8779342723008963E-2</v>
      </c>
      <c r="O217" s="2">
        <v>-3.739016638624891E-2</v>
      </c>
      <c r="P217" s="2">
        <v>-3.5938903863440334E-2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1.8412815319466532E-2</v>
      </c>
      <c r="W217" s="2">
        <v>0</v>
      </c>
      <c r="X217" s="2">
        <v>0</v>
      </c>
      <c r="Y217" s="2">
        <v>1.6652789342218609E-2</v>
      </c>
      <c r="Z217" s="2">
        <v>0</v>
      </c>
      <c r="AA217" s="2">
        <v>0</v>
      </c>
      <c r="AB217" s="2"/>
    </row>
    <row r="218" spans="1:28" x14ac:dyDescent="0.35">
      <c r="A218" s="2">
        <v>3.8502262007879831E-2</v>
      </c>
      <c r="B218" s="2">
        <v>-0.38424852379592384</v>
      </c>
      <c r="C218" s="2">
        <v>-0.28658769583490379</v>
      </c>
      <c r="D218" s="2">
        <v>0.767877139657684</v>
      </c>
      <c r="E218" s="2">
        <v>-3.1160934828044802</v>
      </c>
      <c r="F218" s="2">
        <v>0.60127771514466954</v>
      </c>
      <c r="G218" s="2">
        <v>4.0094339622641693</v>
      </c>
      <c r="H218" s="2">
        <v>1.8100511073253833</v>
      </c>
      <c r="I218" s="2">
        <v>1.3818606461658278</v>
      </c>
      <c r="J218" s="2">
        <v>1.0526315789473715</v>
      </c>
      <c r="K218" s="2">
        <v>1.5320778806256203</v>
      </c>
      <c r="L218" s="2">
        <v>0.3496503496503629</v>
      </c>
      <c r="M218" s="2">
        <v>0.25884383088869711</v>
      </c>
      <c r="N218" s="2">
        <v>0.54449868569282334</v>
      </c>
      <c r="O218" s="2">
        <v>-2.3564615672339673</v>
      </c>
      <c r="P218" s="2">
        <v>0.41344598238361824</v>
      </c>
      <c r="Q218" s="2">
        <v>0.28158438145297537</v>
      </c>
      <c r="R218" s="2">
        <v>0.34364261168384469</v>
      </c>
      <c r="S218" s="2">
        <v>0.24904214559386104</v>
      </c>
      <c r="T218" s="2">
        <v>0.69922145803715674</v>
      </c>
      <c r="U218" s="2">
        <v>0.23460410557184525</v>
      </c>
      <c r="V218" s="2">
        <v>1.6568483063328425</v>
      </c>
      <c r="W218" s="2">
        <v>0.34432765494746126</v>
      </c>
      <c r="X218" s="2">
        <v>0.76045627376425851</v>
      </c>
      <c r="Y218" s="2">
        <v>0.49950049950049952</v>
      </c>
      <c r="Z218" s="2">
        <v>0.53639846743294151</v>
      </c>
      <c r="AA218" s="2">
        <v>0.52681091251177203</v>
      </c>
    </row>
    <row r="219" spans="1:28" x14ac:dyDescent="0.35">
      <c r="A219" s="2">
        <v>0.41374001731936705</v>
      </c>
      <c r="B219" s="2">
        <v>-0.44939219408786696</v>
      </c>
      <c r="C219" s="2">
        <v>-5.7482276298176253E-2</v>
      </c>
      <c r="D219" s="2">
        <v>2.4289569772979762</v>
      </c>
      <c r="E219" s="2">
        <v>2.1572857423024123</v>
      </c>
      <c r="F219" s="2">
        <v>0.57900635039223436</v>
      </c>
      <c r="G219" s="2">
        <v>-2.3053665910808854</v>
      </c>
      <c r="H219" s="2">
        <v>3.4720769713448991</v>
      </c>
      <c r="I219" s="2">
        <v>1.2478402764446153</v>
      </c>
      <c r="J219" s="2">
        <v>1.0964912280701753</v>
      </c>
      <c r="K219" s="2">
        <v>2.3105941527821328</v>
      </c>
      <c r="L219" s="2">
        <v>0.27100271002709586</v>
      </c>
      <c r="M219" s="2">
        <v>0.34423407917383825</v>
      </c>
      <c r="N219" s="2">
        <v>0.65359477124183007</v>
      </c>
      <c r="O219" s="2">
        <v>-2.7580923194790228</v>
      </c>
      <c r="P219" s="2">
        <v>0.21482277121373641</v>
      </c>
      <c r="Q219" s="2">
        <v>0.280793710220891</v>
      </c>
      <c r="R219" s="2">
        <v>0.27036770007209809</v>
      </c>
      <c r="S219" s="2">
        <v>0.34397095356391261</v>
      </c>
      <c r="T219" s="2">
        <v>0.16338030585201938</v>
      </c>
      <c r="U219" s="2">
        <v>0.29256875365710944</v>
      </c>
      <c r="V219" s="2">
        <v>0.63382832307135095</v>
      </c>
      <c r="W219" s="2">
        <v>0.36120642947444465</v>
      </c>
      <c r="X219" s="2">
        <v>0.41509433962265013</v>
      </c>
      <c r="Y219" s="2">
        <v>0.2485089463220676</v>
      </c>
      <c r="Z219" s="2">
        <v>0.38109756097560982</v>
      </c>
      <c r="AA219" s="2">
        <v>0.52405015908664687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FF7AD5-3287-411F-8A39-30BE8B9DAC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All_India_Index_Upto_April23 (1</vt:lpstr>
      <vt:lpstr>Highest contribution CPI</vt:lpstr>
      <vt:lpstr>YOY Trend</vt:lpstr>
      <vt:lpstr>MOM Change CPI</vt:lpstr>
      <vt:lpstr>Impact of Covid-19</vt:lpstr>
      <vt:lpstr>Correlation bw Crude oil &amp; Cate</vt:lpstr>
      <vt:lpstr>Extra Sheet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Ayushi Bhawsar</cp:lastModifiedBy>
  <dcterms:created xsi:type="dcterms:W3CDTF">2026-07-28T10:41:48Z</dcterms:created>
  <dcterms:modified xsi:type="dcterms:W3CDTF">2026-10-13T15:15:10Z</dcterms:modified>
</cp:coreProperties>
</file>